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ms-excel.documenttasks+xml" PartName="/xl/documenttasks/documenttask1.xml"/>
  <Override ContentType="application/vnd.ms-excel.threadedcomments+xml" PartName="/xl/threadedComments/threadedComment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l Log" sheetId="1" r:id="rId5"/>
    <sheet state="visible" name="Script Reference" sheetId="2" r:id="rId6"/>
    <sheet state="visible" name="Interest per Group" sheetId="3" r:id="rId7"/>
    <sheet state="visible" name="Summary" sheetId="4" r:id="rId8"/>
    <sheet state="visible" name="Sheet1" sheetId="5" r:id="rId9"/>
  </sheets>
  <definedNames/>
  <calcPr/>
  <pivotCaches>
    <pivotCache cacheId="0" r:id="rId10"/>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tc={64c3fd08-2d3b-4e8f-b1ae-0872f5163d2c}</author>
  </authors>
  <commentList>
    <comment authorId="0" xr:uid="{64c3fd08-2d3b-4e8f-b1ae-0872f5163d2c}" ref="T30">
      <text>
        <t xml:space="preserve">[Threaded comment]
 Your version of Excel allows you to read this threaded comment; however, any edits to it will get removed if the file is opened in a newer version of Excel. Learn more: https://go.microsoft.com/fwlink/?linkid=870924
Comment:
	Why is she concerned about price when it is free?
Reply:
	She was concerned about how they usually ask partners to pay, not us paying
</t>
      </text>
    </comment>
  </commentList>
</comments>
</file>

<file path=xl/sharedStrings.xml><?xml version="1.0" encoding="utf-8"?>
<sst xmlns="http://schemas.openxmlformats.org/spreadsheetml/2006/main" count="730" uniqueCount="382">
  <si>
    <t>Junior Achievement — School Partnership Cold Call Tracker</t>
  </si>
  <si>
    <t>Call ID</t>
  </si>
  <si>
    <t>Date</t>
  </si>
  <si>
    <t>Caller Name</t>
  </si>
  <si>
    <t>Contact Name</t>
  </si>
  <si>
    <t>Title</t>
  </si>
  <si>
    <t>Organization</t>
  </si>
  <si>
    <t>City</t>
  </si>
  <si>
    <t>County</t>
  </si>
  <si>
    <t>Phone</t>
  </si>
  <si>
    <t>Email</t>
  </si>
  <si>
    <t>Categorical Grouping</t>
  </si>
  <si>
    <t>Has Open Space?</t>
  </si>
  <si>
    <t>Space (sq ft)</t>
  </si>
  <si>
    <t>Max Capacity</t>
  </si>
  <si>
    <t>Past Partnerships?</t>
  </si>
  <si>
    <t>Impact Assessment Rating</t>
  </si>
  <si>
    <t>Outcome</t>
  </si>
  <si>
    <t>Stage</t>
  </si>
  <si>
    <t>Call Back?</t>
  </si>
  <si>
    <t>Notes / Next Steps</t>
  </si>
  <si>
    <t>Grant</t>
  </si>
  <si>
    <t>Nelsonville-York High School</t>
  </si>
  <si>
    <t>Nelsonville</t>
  </si>
  <si>
    <t>Athens County</t>
  </si>
  <si>
    <t>(740) 753-1737</t>
  </si>
  <si>
    <t>Not Interested</t>
  </si>
  <si>
    <t>Cold</t>
  </si>
  <si>
    <t>Chillicothe High School</t>
  </si>
  <si>
    <t xml:space="preserve">Chillicothe </t>
  </si>
  <si>
    <t>Ross County</t>
  </si>
  <si>
    <t>(740) 775-4250</t>
  </si>
  <si>
    <t>Luke</t>
  </si>
  <si>
    <t>Valley High School</t>
  </si>
  <si>
    <t>Lucasville</t>
  </si>
  <si>
    <t>Scioto County</t>
  </si>
  <si>
    <t>(740) 259-3115</t>
  </si>
  <si>
    <t>Call Back</t>
  </si>
  <si>
    <t>No</t>
  </si>
  <si>
    <t>Left a voicemail with the principal. Worth calling back</t>
  </si>
  <si>
    <t>Northwest High School</t>
  </si>
  <si>
    <t>McDermott</t>
  </si>
  <si>
    <t>(740) 259-2366</t>
  </si>
  <si>
    <t>Scott McCallum</t>
  </si>
  <si>
    <t>Mt. Logan Early Childhood Center</t>
  </si>
  <si>
    <t>Chillicothe</t>
  </si>
  <si>
    <t>(740)773-2638</t>
  </si>
  <si>
    <t>mccallum@horizonview.net, hers is kmccallum@adena.org</t>
  </si>
  <si>
    <t>Yes</t>
  </si>
  <si>
    <t>Interested</t>
  </si>
  <si>
    <t>Assessing Fit</t>
  </si>
  <si>
    <t>Emailed</t>
  </si>
  <si>
    <r>
      <rPr>
        <rFont val="Calibri"/>
        <b/>
        <color theme="1"/>
      </rPr>
      <t xml:space="preserve">CONTACT: LATER </t>
    </r>
    <r>
      <rPr>
        <rFont val="Calibri"/>
        <color theme="1"/>
      </rPr>
      <t>Transfered to district office, They have a club, connect 4 club, students that dont have means but want to go to college</t>
    </r>
  </si>
  <si>
    <t>Unioto Elementary</t>
  </si>
  <si>
    <t>(740)773-4103</t>
  </si>
  <si>
    <t>Voicemail</t>
  </si>
  <si>
    <t>Left a voicemail. Worth calling back</t>
  </si>
  <si>
    <t>Addaville Elementary School</t>
  </si>
  <si>
    <t>Gallipolis</t>
  </si>
  <si>
    <t>Gallia County</t>
  </si>
  <si>
    <t>(740)367-7283</t>
  </si>
  <si>
    <t>Left a voicemail, worth calling back</t>
  </si>
  <si>
    <t>Buckeye Hills Career Center</t>
  </si>
  <si>
    <t>Rio Grande</t>
  </si>
  <si>
    <t>(740)245-5334</t>
  </si>
  <si>
    <t>Steubenville High School</t>
  </si>
  <si>
    <t>Steubenville</t>
  </si>
  <si>
    <t>Jefferson County</t>
  </si>
  <si>
    <t>(740)282-9741</t>
  </si>
  <si>
    <t>Barnesville Middle School</t>
  </si>
  <si>
    <t>Barnesville</t>
  </si>
  <si>
    <t>Belmont County</t>
  </si>
  <si>
    <t>(740)425-3116</t>
  </si>
  <si>
    <t>Indian Creek High School</t>
  </si>
  <si>
    <t>Wintersville</t>
  </si>
  <si>
    <t>(740)264-1163</t>
  </si>
  <si>
    <t>No Answer</t>
  </si>
  <si>
    <t>Garrett Davis</t>
  </si>
  <si>
    <t>Marietta Elementary School</t>
  </si>
  <si>
    <t>Marietta</t>
  </si>
  <si>
    <t>Washington County</t>
  </si>
  <si>
    <t>(740)374-6530</t>
  </si>
  <si>
    <t>Unsure</t>
  </si>
  <si>
    <t>Left voicemail with the principal, worth calling back</t>
  </si>
  <si>
    <t/>
  </si>
  <si>
    <t>Mac</t>
  </si>
  <si>
    <t>Morgan High School</t>
  </si>
  <si>
    <t>McConnelsville</t>
  </si>
  <si>
    <t>Morgan County</t>
  </si>
  <si>
    <t>(740)962-2944</t>
  </si>
  <si>
    <t>Chad Grove</t>
  </si>
  <si>
    <t>Principal</t>
  </si>
  <si>
    <t>Logan High School</t>
  </si>
  <si>
    <t>Logan</t>
  </si>
  <si>
    <t>Hocking County</t>
  </si>
  <si>
    <t>(740)385-2069</t>
  </si>
  <si>
    <t>Jasper Elementary School</t>
  </si>
  <si>
    <t>Piketon</t>
  </si>
  <si>
    <t>Pike County</t>
  </si>
  <si>
    <t>(740) 289-2425</t>
  </si>
  <si>
    <t>Secretary</t>
  </si>
  <si>
    <t>Oak Hill Elementary</t>
  </si>
  <si>
    <t>Oak Hill</t>
  </si>
  <si>
    <t>Jackson County</t>
  </si>
  <si>
    <t>(740) 682-7096</t>
  </si>
  <si>
    <t>Spoke with secretary, she promised to call me back</t>
  </si>
  <si>
    <t>Lexi</t>
  </si>
  <si>
    <t xml:space="preserve">Kimberly </t>
  </si>
  <si>
    <t>Washinton Elementary</t>
  </si>
  <si>
    <t>Gallpolis</t>
  </si>
  <si>
    <t>Galia County</t>
  </si>
  <si>
    <t>740-446-3213</t>
  </si>
  <si>
    <t>Kristy</t>
  </si>
  <si>
    <t>Jackson Northview Elementary School</t>
  </si>
  <si>
    <t>Jackson City</t>
  </si>
  <si>
    <t>(740) 286-2390</t>
  </si>
  <si>
    <t xml:space="preserve">Secretary, gave number to principal </t>
  </si>
  <si>
    <t>Emma</t>
  </si>
  <si>
    <t>Caldwell Elementary School</t>
  </si>
  <si>
    <t>Caldwell</t>
  </si>
  <si>
    <t>Noble County</t>
  </si>
  <si>
    <t>740-732-4614</t>
  </si>
  <si>
    <t>emarshall@caldwell.k12.oh.us</t>
  </si>
  <si>
    <t>Contacted</t>
  </si>
  <si>
    <t>Email Principle about details of program</t>
  </si>
  <si>
    <t>Martins Ferry High School</t>
  </si>
  <si>
    <t>Martins Ferry</t>
  </si>
  <si>
    <t>(740)633-0684</t>
  </si>
  <si>
    <t>I spoke to the receptionist who was new and couldn't figure out how to transfer me, she gave the assistant principal my #. See seemed earnest, great to call back if I'm not contacted first</t>
  </si>
  <si>
    <t>Audrey Carpenter</t>
  </si>
  <si>
    <t>Supervisor</t>
  </si>
  <si>
    <t>Cambridge Primary School</t>
  </si>
  <si>
    <t>Cambridge</t>
  </si>
  <si>
    <t>Guernsey County</t>
  </si>
  <si>
    <t>(740)439-7547</t>
  </si>
  <si>
    <t>Left voicemail with supervisor.</t>
  </si>
  <si>
    <t>trimble high school</t>
  </si>
  <si>
    <t>Glouster</t>
  </si>
  <si>
    <t>(740)767-3434</t>
  </si>
  <si>
    <t>No response, dont call back</t>
  </si>
  <si>
    <t>Central Elementary</t>
  </si>
  <si>
    <t>McArthur</t>
  </si>
  <si>
    <t>Vinton County</t>
  </si>
  <si>
    <t>(740)596-4155</t>
  </si>
  <si>
    <t>Eastern High School</t>
  </si>
  <si>
    <t>Reedsville</t>
  </si>
  <si>
    <t>Meigs County</t>
  </si>
  <si>
    <t>(740)985-3329</t>
  </si>
  <si>
    <t>Left message with principal, also called district office --&gt; Routed to superintendent, I left a message with both, i think it is worth a callback</t>
  </si>
  <si>
    <t>Bob Byer, Jeniffer Reed</t>
  </si>
  <si>
    <t>Principal, Secretary</t>
  </si>
  <si>
    <t>Cambridge High School</t>
  </si>
  <si>
    <t>(740)435-1100</t>
  </si>
  <si>
    <t>Both away from desk: left message with both</t>
  </si>
  <si>
    <t>Woodsfield Elementary School</t>
  </si>
  <si>
    <t>Woodsfield</t>
  </si>
  <si>
    <t>Monroe County</t>
  </si>
  <si>
    <t>(740)472-0953</t>
  </si>
  <si>
    <t>Not interested</t>
  </si>
  <si>
    <t>River Elementary School</t>
  </si>
  <si>
    <t>Hannibal</t>
  </si>
  <si>
    <t>(740)483-1358</t>
  </si>
  <si>
    <t>intiially uninterested, but I called their district instead of secretary and ended up giving number to superintendent</t>
  </si>
  <si>
    <t>Lavanna</t>
  </si>
  <si>
    <t>Secretary to Superindendent</t>
  </si>
  <si>
    <t>federal hocking middle school</t>
  </si>
  <si>
    <t>Stewart</t>
  </si>
  <si>
    <t>(740)662-6691</t>
  </si>
  <si>
    <t>email: llaughing@fhlancers.com</t>
  </si>
  <si>
    <t>Email lavana with information about the program. They seemed insterested, but were concerned about the price potentially. She says if its for the students, they can make an exception</t>
  </si>
  <si>
    <t>Jessie</t>
  </si>
  <si>
    <t>Secretary to District Office</t>
  </si>
  <si>
    <t>Glenford Elemenary</t>
  </si>
  <si>
    <t>Glenford</t>
  </si>
  <si>
    <t>Perry County</t>
  </si>
  <si>
    <t>740-743-1303 (district office)</t>
  </si>
  <si>
    <t>Call back in a week and ask to speak to Mrs. Gussler</t>
  </si>
  <si>
    <t>Mrs. Canon</t>
  </si>
  <si>
    <t>Junction City Elementary School</t>
  </si>
  <si>
    <t>Junction City</t>
  </si>
  <si>
    <t>(740)987-3751</t>
  </si>
  <si>
    <t xml:space="preserve">Left voicemail with principal </t>
  </si>
  <si>
    <t>Amy</t>
  </si>
  <si>
    <t xml:space="preserve">Secretary </t>
  </si>
  <si>
    <t>Millcreek Elementary School</t>
  </si>
  <si>
    <t>Corning</t>
  </si>
  <si>
    <t>(740)721-0522</t>
  </si>
  <si>
    <t>Lucas Parsons</t>
  </si>
  <si>
    <t>Buckeye Local High School</t>
  </si>
  <si>
    <t>Rayland</t>
  </si>
  <si>
    <t>(740)859-2196</t>
  </si>
  <si>
    <t>Principal Secretary</t>
  </si>
  <si>
    <t>River Valley High School</t>
  </si>
  <si>
    <t>Bidwell</t>
  </si>
  <si>
    <t>(740)446-2926</t>
  </si>
  <si>
    <t>Rochelle Halley: 7403799085, extension 10026</t>
  </si>
  <si>
    <t>Identified their Rochelle Halley: Curriculum Administator 7403799085, extension 10026. Rochelle did not answer, she was away from phone, definitelly call back</t>
  </si>
  <si>
    <t>Jackson High School</t>
  </si>
  <si>
    <t>Jackson</t>
  </si>
  <si>
    <t>(740) 286-7575</t>
  </si>
  <si>
    <t>Worth Call back: Secretary is very nice, seems excited to help, but both Principals in meetings, left voicemail with guidance councellor to guidance councellor</t>
  </si>
  <si>
    <t>Elementary and Middle School Principals, Guidance Counsellor</t>
  </si>
  <si>
    <t>Buckeye Trail Elementary</t>
  </si>
  <si>
    <t>Lore City</t>
  </si>
  <si>
    <t>(740)489-5100</t>
  </si>
  <si>
    <t>Left voicemail with Elementary principal, Middle School Principal, Guidance Counsellor</t>
  </si>
  <si>
    <t>Sue Ferrelli</t>
  </si>
  <si>
    <t>Curriculum Director</t>
  </si>
  <si>
    <t>Anna Marie Ayers Elementary School</t>
  </si>
  <si>
    <t>(740)633-1732</t>
  </si>
  <si>
    <t>sueferrelli@mfcsd.org</t>
  </si>
  <si>
    <t>Partnership Discussion</t>
  </si>
  <si>
    <t>Spoke to curriculum director, she indicated an interest in the program, specifically asking for more information, so that she can pass it on back to the superintendent. She had some questions which I think the survey would help adress</t>
  </si>
  <si>
    <t>Shenandoah Elementary School</t>
  </si>
  <si>
    <t>Sarahsville</t>
  </si>
  <si>
    <t>(740)732-5661</t>
  </si>
  <si>
    <t>Voicemail with principal</t>
  </si>
  <si>
    <t>coolville elementary school</t>
  </si>
  <si>
    <t>Coolville</t>
  </si>
  <si>
    <t>(740)667-3121</t>
  </si>
  <si>
    <t>No response, not worth callback</t>
  </si>
  <si>
    <t>Left message with principal</t>
  </si>
  <si>
    <t xml:space="preserve">Luke </t>
  </si>
  <si>
    <t>Jackson Middle School</t>
  </si>
  <si>
    <t>(740) 286-7586</t>
  </si>
  <si>
    <t>Jackson Southview Elementary School</t>
  </si>
  <si>
    <t xml:space="preserve">Jackson County </t>
  </si>
  <si>
    <t>(740) 286-1831</t>
  </si>
  <si>
    <t>alexander elementary school</t>
  </si>
  <si>
    <t>Albany</t>
  </si>
  <si>
    <t>(740)698-8831</t>
  </si>
  <si>
    <t>mkarr@alexanderschools.org</t>
  </si>
  <si>
    <t>Left Email and Voicemail</t>
  </si>
  <si>
    <t>Dawn Winland</t>
  </si>
  <si>
    <t>Brook Intermediate School</t>
  </si>
  <si>
    <t>Byesville</t>
  </si>
  <si>
    <t>(740)685-2526</t>
  </si>
  <si>
    <t>dawn.winlind@rollinghills.k12.oh.us</t>
  </si>
  <si>
    <t>Left email: Got principals email from secretary</t>
  </si>
  <si>
    <t>Madi Fraley</t>
  </si>
  <si>
    <t>Career Navigator</t>
  </si>
  <si>
    <t>Meadowbrook High School</t>
  </si>
  <si>
    <t>(740)685-2566</t>
  </si>
  <si>
    <t>madi.fraley@rollinghills.k12.oh.us</t>
  </si>
  <si>
    <t>Left email: Got administrators email from secretary</t>
  </si>
  <si>
    <t>Lynette Gorman</t>
  </si>
  <si>
    <t>East Garfield Elementary School</t>
  </si>
  <si>
    <t>(740)282-5112</t>
  </si>
  <si>
    <t>Lgorman@rollred.org</t>
  </si>
  <si>
    <t>Left email with principal: I got routed to the Steubenville Board Office: 7402833767, and Mrs. Woofe, who told me to contact the principal Mrs. Gorman: Lgorman@rollred.org</t>
  </si>
  <si>
    <t>Circleville Elementary School</t>
  </si>
  <si>
    <t>Circleville</t>
  </si>
  <si>
    <t>Pickaway County</t>
  </si>
  <si>
    <t>(740)474-2495</t>
  </si>
  <si>
    <t>Left voicemails Call back this one seems cool</t>
  </si>
  <si>
    <t>Pleasantville Elementary School</t>
  </si>
  <si>
    <t>Pleasantville</t>
  </si>
  <si>
    <t>Fairfield County</t>
  </si>
  <si>
    <t>(740)468-2181</t>
  </si>
  <si>
    <t>Left voicemail</t>
  </si>
  <si>
    <t>Pickerington Elementary School</t>
  </si>
  <si>
    <t>Pickerington</t>
  </si>
  <si>
    <t>(614)833-2115</t>
  </si>
  <si>
    <t>Amanda-Clearcreek High School</t>
  </si>
  <si>
    <t>Amanda</t>
  </si>
  <si>
    <t>(740)969-7251</t>
  </si>
  <si>
    <t>James Conger Elementary School</t>
  </si>
  <si>
    <t>Delaware</t>
  </si>
  <si>
    <t>Delaware County</t>
  </si>
  <si>
    <t>(740)833-1300</t>
  </si>
  <si>
    <t>Deer Run Elementary School</t>
  </si>
  <si>
    <t>Dublin</t>
  </si>
  <si>
    <t>(614)764-5932</t>
  </si>
  <si>
    <t>North Union Elementary School</t>
  </si>
  <si>
    <t>Richwood</t>
  </si>
  <si>
    <t>Union County</t>
  </si>
  <si>
    <t>(740)943-3113</t>
  </si>
  <si>
    <t>Glacier Ridge Elementary</t>
  </si>
  <si>
    <t>(614)733-0012</t>
  </si>
  <si>
    <t>Voicemail with secretary</t>
  </si>
  <si>
    <t>Michelle __</t>
  </si>
  <si>
    <t>Wellston Intermediate School</t>
  </si>
  <si>
    <t>Wellston</t>
  </si>
  <si>
    <t>(740) 384-2060</t>
  </si>
  <si>
    <t>Left voicemail with secretary and principal Michelle</t>
  </si>
  <si>
    <t>Oak Hill Middle/High School</t>
  </si>
  <si>
    <t>(740) 682-7055</t>
  </si>
  <si>
    <t>Left voicemail with secretary</t>
  </si>
  <si>
    <t>Bundy Elementary School</t>
  </si>
  <si>
    <t>(740) 384-6245</t>
  </si>
  <si>
    <t>Left voicemail with Amanda the secretary</t>
  </si>
  <si>
    <t>West Elementary School</t>
  </si>
  <si>
    <t>Malta</t>
  </si>
  <si>
    <t>(740)342-4873</t>
  </si>
  <si>
    <t>Johnstown Elementary School</t>
  </si>
  <si>
    <t>Johnstown</t>
  </si>
  <si>
    <t>Licking County</t>
  </si>
  <si>
    <t>(740)967-5461</t>
  </si>
  <si>
    <t>They said to call back later; but it was already late in the day</t>
  </si>
  <si>
    <t>Asbury Elementary School</t>
  </si>
  <si>
    <t>Columbus</t>
  </si>
  <si>
    <t>Franklin County</t>
  </si>
  <si>
    <t>(614)833-2000</t>
  </si>
  <si>
    <t>Left Voicemail</t>
  </si>
  <si>
    <t>Baldwin Road Junior High School</t>
  </si>
  <si>
    <t>Reynoldsburg</t>
  </si>
  <si>
    <t>(614)367-1600</t>
  </si>
  <si>
    <t>Alton Hall Elementary School</t>
  </si>
  <si>
    <t>Galloway</t>
  </si>
  <si>
    <t>(614)801-8000</t>
  </si>
  <si>
    <t>No answer</t>
  </si>
  <si>
    <t>Beechwood Elementary School</t>
  </si>
  <si>
    <t>Whitehall</t>
  </si>
  <si>
    <t>(614)417-5300</t>
  </si>
  <si>
    <t>Blacklick Elementary School</t>
  </si>
  <si>
    <t>Blacklick</t>
  </si>
  <si>
    <t>(614)759-5100</t>
  </si>
  <si>
    <t>They already access JACO programming</t>
  </si>
  <si>
    <t>Bolton Crossing Elementary</t>
  </si>
  <si>
    <t>Grove City</t>
  </si>
  <si>
    <t>(614)801-8275</t>
  </si>
  <si>
    <t>Revised Script for New Cold Callers</t>
  </si>
  <si>
    <t>Context</t>
  </si>
  <si>
    <t>Added Explanation</t>
  </si>
  <si>
    <t>Greeting</t>
  </si>
  <si>
    <t>Hi, how are you doing?
My name _________.</t>
  </si>
  <si>
    <t>Introduction</t>
  </si>
  <si>
    <t>I am working for JACO, which is one of the largest non-profit programs in the nation, specifically focused on offering financial readiness and career skills to young children.</t>
  </si>
  <si>
    <t>How it Works</t>
  </si>
  <si>
    <t>JA hosts events using mobile learning units — collaborating with schools and public spaces (free of charge to schools) to act as a hands-on learning experience for young people.</t>
  </si>
  <si>
    <t>Why Statement</t>
  </si>
  <si>
    <t xml:space="preserve">Junior Achievement currently only services Central Ohio, but hopes to expand to new areas. </t>
  </si>
  <si>
    <t>Purpose</t>
  </si>
  <si>
    <t xml:space="preserve">I just wanted to call today to survey interest or willingness to collaborate with Junior Achievement. Do you have anyone* I can talk to today? </t>
  </si>
  <si>
    <t>*They will likely direct you as needed, but if they ask, say principals, district office, or curriculum director in that order</t>
  </si>
  <si>
    <t>JA Reach</t>
  </si>
  <si>
    <r>
      <rPr>
        <rFont val="Arial"/>
        <color theme="1"/>
        <sz val="10.0"/>
      </rPr>
      <t xml:space="preserve">JA reaches over 4.4 million students per year in </t>
    </r>
    <r>
      <rPr>
        <rFont val="Arial"/>
        <strike/>
        <color theme="1"/>
        <sz val="10.0"/>
      </rPr>
      <t>176,714</t>
    </r>
    <r>
      <rPr>
        <rFont val="Arial"/>
        <color theme="1"/>
        <sz val="10.0"/>
      </rPr>
      <t xml:space="preserve"> classrooms and after-school locations across all 50 states.</t>
    </r>
  </si>
  <si>
    <t>You can use this type of information to supplement JACOs value, to highlight their credibility</t>
  </si>
  <si>
    <t>Impact/Measureable Interest Assessment</t>
  </si>
  <si>
    <t>Try to ask these if possible, but we take note of how receptive respondants are to answering them</t>
  </si>
  <si>
    <t>Impact Assesment</t>
  </si>
  <si>
    <t>I understand that you have just recieved a lot of information, but do you have an idea of how impactful would such a program might be to your (school/students), on a Scale of 1-5?</t>
  </si>
  <si>
    <t>Measureable Interest</t>
  </si>
  <si>
    <t>On the same note, do you have an idea of how initially interested you may be in collaborating with a program like Junior Achievement</t>
  </si>
  <si>
    <t>QUALIFYING QUESTIONS — SPACE (Log answers in spreadsheet)</t>
  </si>
  <si>
    <t>You very often may not reach these questions, depending on receptiveness or availabilty of respondants</t>
  </si>
  <si>
    <t>Space Exists?</t>
  </si>
  <si>
    <t>Does your school/church/organization have an auditorium, gym, or open space?</t>
  </si>
  <si>
    <t>Size</t>
  </si>
  <si>
    <t>Is the space at least 57 by 38 feet, or about 2,166 square feet?</t>
  </si>
  <si>
    <t>Capacity</t>
  </si>
  <si>
    <t>Do you know the maximum capacity of this space? We're ideally looking for around 150 people.</t>
  </si>
  <si>
    <t>Past Events</t>
  </si>
  <si>
    <t>Has your school partnered with organizations or hosted events in this space in the past?</t>
  </si>
  <si>
    <t>HOSTING / PARTNERSHIP ASK — Choose One Approach</t>
  </si>
  <si>
    <t>Option C
(Casual)</t>
  </si>
  <si>
    <t>We're a nonprofit working to directly support students. Our goal is to make this as accessible as possible for students and partners alike. If we were to bring this service to your community, do you think there could be flexibility around hosting costs?</t>
  </si>
  <si>
    <t>COUNTA of Categorical Grouping</t>
  </si>
  <si>
    <t>Interested Organizations</t>
  </si>
  <si>
    <t>Group</t>
  </si>
  <si>
    <t>(740)633-1732 Total</t>
  </si>
  <si>
    <t>740-732-4614 Total</t>
  </si>
  <si>
    <t>(740)435-1100 Total</t>
  </si>
  <si>
    <t>(740)662-6691 Total</t>
  </si>
  <si>
    <t>(740)685-2566 Total</t>
  </si>
  <si>
    <t>(740)773-2638 Total</t>
  </si>
  <si>
    <t>Call Summary Dashboard — JA Partnership Drive</t>
  </si>
  <si>
    <t>Call Outcome</t>
  </si>
  <si>
    <t>Count</t>
  </si>
  <si>
    <t>Partnership Stage</t>
  </si>
  <si>
    <t>Space Qualification</t>
  </si>
  <si>
    <t>Space: Yes</t>
  </si>
  <si>
    <t>Space: No</t>
  </si>
  <si>
    <t>Space: Unknown</t>
  </si>
  <si>
    <t>Space Confirmed</t>
  </si>
  <si>
    <t>Past Partnerships</t>
  </si>
  <si>
    <t>Wrong Number</t>
  </si>
  <si>
    <t>Committed</t>
  </si>
  <si>
    <t>Do Not Contact</t>
  </si>
  <si>
    <t>Closed</t>
  </si>
  <si>
    <t>Total Calls Logged</t>
  </si>
  <si>
    <t>Commit Rate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</si>
</sst>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
    <numFmt numFmtId="165" formatCode="mm/dd/yyyy"/>
    <numFmt numFmtId="166" formatCode="m/d"/>
    <numFmt numFmtId="167" formatCode="0.0%"/>
  </numFmts>
  <fonts count="15">
    <font>
      <sz val="11.0"/>
      <color theme="1"/>
      <name val="Calibri"/>
      <scheme val="minor"/>
    </font>
    <font>
      <b/>
      <sz val="14.0"/>
      <color rgb="FFFFFFFF"/>
      <name val="Arial"/>
    </font>
    <font/>
    <font>
      <b/>
      <sz val="10.0"/>
      <color rgb="FFFFFFFF"/>
      <name val="Arial"/>
    </font>
    <font>
      <sz val="10.0"/>
      <color theme="1"/>
      <name val="Arial"/>
    </font>
    <font>
      <sz val="11.0"/>
      <color theme="1"/>
      <name val="Calibri"/>
    </font>
    <font>
      <sz val="11.0"/>
      <color theme="1"/>
      <name val="Aptos Narrow"/>
    </font>
    <font>
      <color theme="1"/>
      <name val="Calibri"/>
      <scheme val="minor"/>
    </font>
    <font>
      <sz val="10.0"/>
      <color rgb="FF1F1F1F"/>
      <name val="Arial"/>
    </font>
    <font>
      <b/>
      <sz val="13.0"/>
      <color rgb="FFFFFFFF"/>
      <name val="Arial"/>
    </font>
    <font>
      <b/>
      <color theme="1"/>
      <name val="Calibri"/>
      <scheme val="minor"/>
    </font>
    <font>
      <b/>
      <sz val="10.0"/>
      <color theme="1"/>
      <name val="Arial"/>
    </font>
    <font>
      <sz val="11.0"/>
      <color rgb="FF434343"/>
      <name val="Calibri"/>
      <scheme val="minor"/>
    </font>
    <font>
      <color rgb="FF434343"/>
      <name val="Calibri"/>
      <scheme val="minor"/>
    </font>
    <font>
      <sz val="10.0"/>
      <color rgb="FF434343"/>
      <name val="Calibri"/>
      <scheme val="minor"/>
    </font>
  </fonts>
  <fills count="9">
    <fill>
      <patternFill patternType="none"/>
    </fill>
    <fill>
      <patternFill patternType="lightGray"/>
    </fill>
    <fill>
      <patternFill patternType="solid">
        <fgColor rgb="FF1A3A5C"/>
        <bgColor rgb="FF1A3A5C"/>
      </patternFill>
    </fill>
    <fill>
      <patternFill patternType="solid">
        <fgColor rgb="FFF2F7FC"/>
        <bgColor rgb="FFF2F7FC"/>
      </patternFill>
    </fill>
    <fill>
      <patternFill patternType="solid">
        <fgColor rgb="FFFFFFFF"/>
        <bgColor rgb="FFFFFFFF"/>
      </patternFill>
    </fill>
    <fill>
      <patternFill patternType="solid">
        <fgColor rgb="FFF9F9F9"/>
        <bgColor rgb="FFF9F9F9"/>
      </patternFill>
    </fill>
    <fill>
      <patternFill patternType="solid">
        <fgColor rgb="FF2E75B6"/>
        <bgColor rgb="FF2E75B6"/>
      </patternFill>
    </fill>
    <fill>
      <patternFill patternType="solid">
        <fgColor rgb="FFD9D9D9"/>
        <bgColor rgb="FFD9D9D9"/>
      </patternFill>
    </fill>
    <fill>
      <patternFill patternType="solid">
        <fgColor rgb="FFDEEAF1"/>
        <bgColor rgb="FFDEEAF1"/>
      </patternFill>
    </fill>
  </fills>
  <borders count="7">
    <border/>
    <border>
      <left/>
      <top/>
      <bottom/>
    </border>
    <border>
      <top/>
      <bottom/>
    </border>
    <border>
      <right/>
      <top/>
      <bottom/>
    </border>
    <border>
      <left style="thin">
        <color rgb="FFBDC3C7"/>
      </left>
      <right style="thin">
        <color rgb="FFBDC3C7"/>
      </right>
      <top style="thin">
        <color rgb="FFBDC3C7"/>
      </top>
      <bottom style="thin">
        <color rgb="FFBDC3C7"/>
      </bottom>
    </border>
    <border>
      <right style="thin">
        <color rgb="FF000000"/>
      </right>
    </border>
    <border>
      <left style="thin">
        <color rgb="FFBDC3C7"/>
      </left>
      <right style="thin">
        <color rgb="FFBDC3C7"/>
      </right>
      <bottom style="thin">
        <color rgb="FFBDC3C7"/>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2" fontId="3" numFmtId="0" xfId="0" applyAlignment="1" applyBorder="1" applyFont="1">
      <alignment horizontal="center" shrinkToFit="0" vertical="center" wrapText="1"/>
    </xf>
    <xf borderId="4" fillId="2" fontId="3" numFmtId="0" xfId="0" applyAlignment="1" applyBorder="1" applyFont="1">
      <alignment horizontal="center" readingOrder="0" shrinkToFit="0" vertical="center" wrapText="1"/>
    </xf>
    <xf borderId="4" fillId="3" fontId="4" numFmtId="0" xfId="0" applyAlignment="1" applyBorder="1" applyFill="1" applyFont="1">
      <alignment readingOrder="0" shrinkToFit="0" vertical="center" wrapText="1"/>
    </xf>
    <xf borderId="4" fillId="3" fontId="4" numFmtId="164" xfId="0" applyAlignment="1" applyBorder="1" applyFont="1" applyNumberFormat="1">
      <alignment readingOrder="0" shrinkToFit="0" vertical="center" wrapText="1"/>
    </xf>
    <xf borderId="4" fillId="3" fontId="4" numFmtId="0" xfId="0" applyAlignment="1" applyBorder="1" applyFont="1">
      <alignment shrinkToFit="0" vertical="center" wrapText="1"/>
    </xf>
    <xf borderId="4" fillId="4" fontId="4" numFmtId="0" xfId="0" applyAlignment="1" applyBorder="1" applyFill="1" applyFont="1">
      <alignment readingOrder="0" shrinkToFit="0" vertical="center" wrapText="1"/>
    </xf>
    <xf borderId="4" fillId="4" fontId="4" numFmtId="165" xfId="0" applyAlignment="1" applyBorder="1" applyFont="1" applyNumberFormat="1">
      <alignment readingOrder="0" shrinkToFit="0" vertical="center" wrapText="1"/>
    </xf>
    <xf borderId="4" fillId="4" fontId="4" numFmtId="0" xfId="0" applyAlignment="1" applyBorder="1" applyFont="1">
      <alignment shrinkToFit="0" vertical="center" wrapText="1"/>
    </xf>
    <xf borderId="0" fillId="0" fontId="5" numFmtId="0" xfId="0" applyAlignment="1" applyFont="1">
      <alignment vertical="bottom"/>
    </xf>
    <xf borderId="0" fillId="0" fontId="6" numFmtId="0" xfId="0" applyAlignment="1" applyFont="1">
      <alignment vertical="bottom"/>
    </xf>
    <xf borderId="0" fillId="0" fontId="5" numFmtId="0" xfId="0" applyAlignment="1" applyFont="1">
      <alignment vertical="bottom"/>
    </xf>
    <xf borderId="0" fillId="0" fontId="7" numFmtId="0" xfId="0" applyAlignment="1" applyFont="1">
      <alignment readingOrder="0"/>
    </xf>
    <xf borderId="4" fillId="0" fontId="4" numFmtId="164" xfId="0" applyAlignment="1" applyBorder="1" applyFont="1" applyNumberFormat="1">
      <alignment readingOrder="0" shrinkToFit="0" vertical="center" wrapText="1"/>
    </xf>
    <xf borderId="4" fillId="4" fontId="4" numFmtId="0" xfId="0" applyAlignment="1" applyBorder="1" applyFont="1">
      <alignment shrinkToFit="0" vertical="center" wrapText="1"/>
    </xf>
    <xf borderId="0" fillId="0" fontId="7" numFmtId="0" xfId="0" applyFont="1"/>
    <xf borderId="4" fillId="3" fontId="4" numFmtId="0" xfId="0" applyAlignment="1" applyBorder="1" applyFont="1">
      <alignment shrinkToFit="0" vertical="center" wrapText="1"/>
    </xf>
    <xf borderId="4" fillId="4" fontId="4" numFmtId="164" xfId="0" applyAlignment="1" applyBorder="1" applyFont="1" applyNumberFormat="1">
      <alignment readingOrder="0" shrinkToFit="0" vertical="center" wrapText="1"/>
    </xf>
    <xf borderId="4" fillId="4" fontId="4" numFmtId="164" xfId="0" applyAlignment="1" applyBorder="1" applyFont="1" applyNumberFormat="1">
      <alignment shrinkToFit="0" vertical="center" wrapText="1"/>
    </xf>
    <xf borderId="4" fillId="3" fontId="4" numFmtId="164" xfId="0" applyAlignment="1" applyBorder="1" applyFont="1" applyNumberFormat="1">
      <alignment shrinkToFit="0" vertical="center" wrapText="1"/>
    </xf>
    <xf borderId="0" fillId="0" fontId="7" numFmtId="0" xfId="0" applyFont="1"/>
    <xf borderId="4" fillId="4" fontId="4" numFmtId="166" xfId="0" applyAlignment="1" applyBorder="1" applyFont="1" applyNumberFormat="1">
      <alignment shrinkToFit="0" vertical="center" wrapText="1"/>
    </xf>
    <xf borderId="4" fillId="3" fontId="4" numFmtId="166" xfId="0" applyAlignment="1" applyBorder="1" applyFont="1" applyNumberFormat="1">
      <alignment shrinkToFit="0" vertical="center" wrapText="1"/>
    </xf>
    <xf borderId="4" fillId="3" fontId="4" numFmtId="166" xfId="0" applyAlignment="1" applyBorder="1" applyFont="1" applyNumberFormat="1">
      <alignment readingOrder="0" shrinkToFit="0" vertical="center" wrapText="1"/>
    </xf>
    <xf borderId="4" fillId="4" fontId="4" numFmtId="166" xfId="0" applyAlignment="1" applyBorder="1" applyFont="1" applyNumberFormat="1">
      <alignment readingOrder="0" shrinkToFit="0" vertical="center" wrapText="1"/>
    </xf>
    <xf borderId="5" fillId="0" fontId="7" numFmtId="0" xfId="0" applyAlignment="1" applyBorder="1" applyFont="1">
      <alignment readingOrder="0"/>
    </xf>
    <xf borderId="0" fillId="5" fontId="8" numFmtId="0" xfId="0" applyAlignment="1" applyFill="1" applyFont="1">
      <alignment readingOrder="0" shrinkToFit="0" wrapText="1"/>
    </xf>
    <xf borderId="0" fillId="0" fontId="4" numFmtId="0" xfId="0" applyAlignment="1" applyFont="1">
      <alignment shrinkToFit="0" wrapText="1"/>
    </xf>
    <xf borderId="4" fillId="3" fontId="4" numFmtId="165" xfId="0" applyAlignment="1" applyBorder="1" applyFont="1" applyNumberFormat="1">
      <alignment readingOrder="0" shrinkToFit="0" vertical="center" wrapText="1"/>
    </xf>
    <xf borderId="1" fillId="2" fontId="9" numFmtId="0" xfId="0" applyAlignment="1" applyBorder="1" applyFont="1">
      <alignment horizontal="center" readingOrder="0" vertical="center"/>
    </xf>
    <xf borderId="1" fillId="6" fontId="3" numFmtId="0" xfId="0" applyAlignment="1" applyBorder="1" applyFill="1" applyFont="1">
      <alignment horizontal="left" vertical="center"/>
    </xf>
    <xf borderId="0" fillId="7" fontId="10" numFmtId="0" xfId="0" applyAlignment="1" applyFill="1" applyFont="1">
      <alignment readingOrder="0"/>
    </xf>
    <xf borderId="6" fillId="8" fontId="11" numFmtId="0" xfId="0" applyAlignment="1" applyBorder="1" applyFill="1" applyFont="1">
      <alignment shrinkToFit="0" vertical="top" wrapText="1"/>
    </xf>
    <xf borderId="6" fillId="4" fontId="4" numFmtId="0" xfId="0" applyAlignment="1" applyBorder="1" applyFont="1">
      <alignment readingOrder="0" shrinkToFit="0" vertical="top" wrapText="1"/>
    </xf>
    <xf borderId="4" fillId="8" fontId="11" numFmtId="0" xfId="0" applyAlignment="1" applyBorder="1" applyFont="1">
      <alignment shrinkToFit="0" vertical="top" wrapText="1"/>
    </xf>
    <xf borderId="4" fillId="4" fontId="4" numFmtId="0" xfId="0" applyAlignment="1" applyBorder="1" applyFont="1">
      <alignment readingOrder="0" shrinkToFit="0" vertical="top" wrapText="1"/>
    </xf>
    <xf borderId="1" fillId="6" fontId="3" numFmtId="0" xfId="0" applyAlignment="1" applyBorder="1" applyFont="1">
      <alignment horizontal="left" readingOrder="0" vertical="center"/>
    </xf>
    <xf borderId="4" fillId="8" fontId="11" numFmtId="0" xfId="0" applyAlignment="1" applyBorder="1" applyFont="1">
      <alignment readingOrder="0" shrinkToFit="0" vertical="top" wrapText="1"/>
    </xf>
    <xf borderId="0" fillId="0" fontId="12" numFmtId="0" xfId="0" applyAlignment="1" applyFont="1">
      <alignment readingOrder="0"/>
    </xf>
    <xf borderId="0" fillId="0" fontId="13" numFmtId="0" xfId="0" applyAlignment="1" applyFont="1">
      <alignment readingOrder="0" shrinkToFit="0" wrapText="1"/>
    </xf>
    <xf borderId="0" fillId="0" fontId="14" numFmtId="0" xfId="0" applyAlignment="1" applyFont="1">
      <alignment readingOrder="0" shrinkToFit="0" wrapText="1"/>
    </xf>
    <xf borderId="0" fillId="0" fontId="13" numFmtId="0" xfId="0" applyAlignment="1" applyFont="1">
      <alignment readingOrder="0"/>
    </xf>
    <xf borderId="0" fillId="0" fontId="7" numFmtId="0" xfId="0" applyAlignment="1" applyFont="1">
      <alignment readingOrder="0" shrinkToFit="0" wrapText="1"/>
    </xf>
    <xf borderId="0" fillId="0" fontId="13" numFmtId="0" xfId="0" applyFont="1"/>
    <xf borderId="4" fillId="0" fontId="11" numFmtId="0" xfId="0" applyAlignment="1" applyBorder="1" applyFont="1">
      <alignment shrinkToFit="0" vertical="top" wrapText="1"/>
    </xf>
    <xf borderId="0" fillId="0" fontId="13" numFmtId="0" xfId="0" applyAlignment="1" applyFont="1">
      <alignment readingOrder="0" shrinkToFit="0" wrapText="0"/>
    </xf>
    <xf borderId="6" fillId="4" fontId="4" numFmtId="0" xfId="0" applyAlignment="1" applyBorder="1" applyFont="1">
      <alignment shrinkToFit="0" vertical="top" wrapText="1"/>
    </xf>
    <xf borderId="4" fillId="4" fontId="4" numFmtId="0" xfId="0" applyAlignment="1" applyBorder="1" applyFont="1">
      <alignment shrinkToFit="0" vertical="top" wrapText="1"/>
    </xf>
    <xf borderId="0" fillId="0" fontId="7" numFmtId="0" xfId="0" applyAlignment="1" applyFont="1">
      <alignment shrinkToFit="0" wrapText="0"/>
    </xf>
    <xf borderId="0" fillId="0" fontId="7" numFmtId="0" xfId="0" applyAlignment="1" applyFont="1">
      <alignment shrinkToFit="0" wrapText="0"/>
    </xf>
    <xf borderId="1" fillId="2" fontId="9" numFmtId="0" xfId="0" applyAlignment="1" applyBorder="1" applyFont="1">
      <alignment horizontal="center" vertical="center"/>
    </xf>
    <xf borderId="4" fillId="6" fontId="3" numFmtId="0" xfId="0" applyAlignment="1" applyBorder="1" applyFont="1">
      <alignment horizontal="center" vertical="center"/>
    </xf>
    <xf borderId="4" fillId="0" fontId="4" numFmtId="0" xfId="0" applyAlignment="1" applyBorder="1" applyFont="1">
      <alignment horizontal="left" vertical="center"/>
    </xf>
    <xf borderId="4" fillId="8" fontId="4" numFmtId="0" xfId="0" applyAlignment="1" applyBorder="1" applyFont="1">
      <alignment horizontal="center" vertical="center"/>
    </xf>
    <xf borderId="4" fillId="0" fontId="11" numFmtId="0" xfId="0" applyAlignment="1" applyBorder="1" applyFont="1">
      <alignment horizontal="left" vertical="center"/>
    </xf>
    <xf borderId="4" fillId="8" fontId="4" numFmtId="167" xfId="0" applyAlignment="1" applyBorder="1" applyFont="1" applyNumberFormat="1">
      <alignment horizontal="center" vertical="center"/>
    </xf>
    <xf borderId="0" fillId="0" fontId="7" numFmtId="0" xfId="0" applyFont="1"/>
    <xf borderId="4" fillId="3" fontId="4" numFmtId="0" xfId="0" applyAlignment="1" applyBorder="1" applyFont="1">
      <alignment readingOrder="0" shrinkToFit="0" vertical="center" wrapText="1"/>
    </xf>
    <xf borderId="4" fillId="4" fontId="4" numFmtId="0" xfId="0" applyAlignment="1" applyBorder="1" applyFont="1">
      <alignment shrinkToFit="0" vertical="center" wrapText="1"/>
    </xf>
    <xf borderId="0" fillId="0" fontId="7" numFmtId="0" xfId="0" applyAlignment="1" applyFont="1">
      <alignment readingOrder="0"/>
    </xf>
    <xf borderId="4" fillId="4" fontId="4" numFmtId="0" xfId="0" applyAlignment="1" applyBorder="1" applyFont="1">
      <alignment readingOrder="0" shrinkToFit="0" vertical="center" wrapText="1"/>
    </xf>
    <xf borderId="4" fillId="3" fontId="4" numFmtId="0" xfId="0" applyAlignment="1" applyBorder="1" applyFont="1">
      <alignment shrinkToFit="0" vertical="center" wrapText="1"/>
    </xf>
    <xf borderId="4" fillId="4" fontId="4" numFmtId="0" xfId="0" applyAlignment="1" applyBorder="1" applyFont="1">
      <alignment shrinkToFit="0" vertical="center" wrapText="1"/>
    </xf>
  </cellXfs>
  <cellStyles count="1">
    <cellStyle xfId="0" name="Normal" builtinId="0"/>
  </cellStyles>
  <dxfs count="6">
    <dxf>
      <font/>
      <fill>
        <patternFill patternType="solid">
          <fgColor rgb="FFB7E1CD"/>
          <bgColor rgb="FFB7E1CD"/>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FFF00"/>
          <bgColor rgb="FFFFFF00"/>
        </patternFill>
      </fill>
      <border/>
    </dxf>
  </dxfs>
  <tableStyles count="1">
    <tableStyle count="3" pivot="0" name="Sheet1-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pivotCacheDefinition" Target="pivotCache/pivotCacheDefinition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exia Christenson" id="{7d616fa0-dc58-4b5a-b4d3-74f5218e5dc0}" providerId="google-sheets"/>
  <x18tc:person displayName="Grant Nelson" id="{a8aab4e9-0714-4ed6-93d9-bb23648aa7fe}"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T998" sheet="Call Log"/>
  </cacheSource>
  <cacheFields>
    <cacheField name="Call ID" numFmtId="0">
      <sharedItems containsBlank="1">
        <m/>
        <s v=""/>
      </sharedItems>
    </cacheField>
    <cacheField name="Date" numFmtId="164">
      <sharedItems containsDate="1" containsString="0" containsBlank="1">
        <d v="2026-03-02T00:00:00Z"/>
        <d v="2026-03-03T00:00:00Z"/>
        <d v="2026-03-05T00:00:00Z"/>
        <d v="2026-03-06T00:00:00Z"/>
        <d v="2026-03-09T00:00:00Z"/>
        <d v="2026-03-10T00:00:00Z"/>
        <d v="2026-03-12T00:00:00Z"/>
        <d v="2026-03-18T00:00:00Z"/>
        <m/>
      </sharedItems>
    </cacheField>
    <cacheField name="Caller Name" numFmtId="0">
      <sharedItems containsBlank="1">
        <s v="Grant"/>
        <s v="Luke"/>
        <s v="Mac"/>
        <s v="Lexi"/>
        <s v="Luke "/>
        <m/>
      </sharedItems>
    </cacheField>
    <cacheField name="Contact Name" numFmtId="0">
      <sharedItems containsBlank="1">
        <m/>
        <s v="Scott McCallum"/>
        <s v="Garrett Davis"/>
        <s v="Chad Grove"/>
        <s v="Kimberly "/>
        <s v="Kristy"/>
        <s v="Emma"/>
        <s v="Audrey Carpenter"/>
        <s v="Bob Byer, Jeniffer Reed"/>
        <s v="Lavanna"/>
        <s v="Jessie"/>
        <s v="Mrs. Canon"/>
        <s v="Amy"/>
        <s v="Lucas Parsons"/>
        <s v="Sue Ferrelli"/>
        <s v="Dawn Winland"/>
        <s v="Madi Fraley"/>
        <s v="Principal"/>
        <s v="Amanda"/>
      </sharedItems>
    </cacheField>
    <cacheField name="Title" numFmtId="0">
      <sharedItems containsBlank="1">
        <m/>
        <s v="Principal"/>
        <s v="Secretary"/>
        <s v="Supervisor"/>
        <s v="Principal, Secretary"/>
        <s v="Secretary to Superindendent"/>
        <s v="Secretary to District Office"/>
        <s v="Secretary "/>
        <s v="Principal Secretary"/>
        <s v="Elementary and Middle School Principals, Guidance Counsellor"/>
        <s v="Curriculum Director"/>
        <s v="Career Navigator"/>
        <s v="Lynette Gorman"/>
        <s v="Michelle __"/>
      </sharedItems>
    </cacheField>
    <cacheField name="Organization" numFmtId="0">
      <sharedItems containsBlank="1">
        <s v="Nelsonville-York High School"/>
        <s v="Chillicothe High School"/>
        <s v="Valley High School"/>
        <s v="Northwest High School"/>
        <s v="Mt. Logan Early Childhood Center"/>
        <s v="Unioto Elementary"/>
        <s v="Addaville Elementary School"/>
        <s v="Buckeye Hills Career Center"/>
        <s v="Steubenville High School"/>
        <s v="Barnesville Middle School"/>
        <s v="Indian Creek High School"/>
        <s v="Marietta Elementary School"/>
        <s v="Morgan High School"/>
        <s v="Logan High School"/>
        <s v="Jasper Elementary School"/>
        <s v="Oak Hill Elementary"/>
        <s v="Washinton Elementary"/>
        <s v="Jackson Northview Elementary School"/>
        <s v="Caldwell Elementary School"/>
        <s v="Martins Ferry High School"/>
        <s v="Cambridge Primary School"/>
        <s v="trimble high school"/>
        <s v="Central Elementary"/>
        <s v="Eastern High School"/>
        <s v="Cambridge High School"/>
        <s v="Woodsfield Elementary School"/>
        <s v="River Elementary School"/>
        <s v="federal hocking middle school"/>
        <s v="Glenford Elemenary"/>
        <s v="Junction City Elementary School"/>
        <s v="Millcreek Elementary School"/>
        <s v="Buckeye Local High School"/>
        <s v="River Valley High School"/>
        <s v="Jackson High School"/>
        <s v="Buckeye Trail Elementary"/>
        <s v="Anna Marie Ayers Elementary School"/>
        <s v="Shenandoah Elementary School"/>
        <s v="coolville elementary school"/>
        <s v="Jackson Middle School"/>
        <s v="Jackson Southview Elementary School"/>
        <s v="alexander elementary school"/>
        <s v="Brook Intermediate School"/>
        <s v="Meadowbrook High School"/>
        <s v="East Garfield Elementary School"/>
        <s v="Circleville Elementary School"/>
        <s v="Pleasantville Elementary School"/>
        <s v="Pickerington Elementary School"/>
        <s v="Amanda-Clearcreek High School"/>
        <s v="James Conger Elementary School"/>
        <s v="Deer Run Elementary School"/>
        <s v="North Union Elementary School"/>
        <s v="Glacier Ridge Elementary"/>
        <s v="Wellston Intermediate School"/>
        <s v="Oak Hill Middle/High School"/>
        <s v="Bundy Elementary School"/>
        <s v="West Elementary School"/>
        <s v="Johnstown Elementary School"/>
        <s v="Asbury Elementary School"/>
        <s v="Baldwin Road Junior High School"/>
        <s v="Alton Hall Elementary School"/>
        <s v="Beechwood Elementary School"/>
        <s v="Blacklick Elementary School"/>
        <s v="Bolton Crossing Elementary"/>
        <m/>
      </sharedItems>
    </cacheField>
    <cacheField name="City" numFmtId="0">
      <sharedItems containsBlank="1">
        <s v="Nelsonville"/>
        <s v="Chillicothe "/>
        <s v="Lucasville"/>
        <s v="McDermott"/>
        <s v="Chillicothe"/>
        <s v="Gallipolis"/>
        <s v="Rio Grande"/>
        <s v="Steubenville"/>
        <s v="Barnesville"/>
        <s v="Wintersville"/>
        <s v="Marietta"/>
        <s v="McConnelsville"/>
        <s v="Logan"/>
        <s v="Piketon"/>
        <s v="Oak Hill"/>
        <s v="Gallpolis"/>
        <s v="Jackson City"/>
        <s v="Caldwell"/>
        <s v="Martins Ferry"/>
        <s v="Cambridge"/>
        <s v="Glouster"/>
        <s v="McArthur"/>
        <s v="Reedsville"/>
        <s v="Woodsfield"/>
        <s v="Hannibal"/>
        <s v="Stewart"/>
        <s v="Glenford"/>
        <s v="Junction City"/>
        <s v="Corning"/>
        <s v="Rayland"/>
        <s v="Bidwell"/>
        <s v="Jackson"/>
        <s v="Lore City"/>
        <s v="Sarahsville"/>
        <s v="Coolville"/>
        <s v="Albany"/>
        <s v="Byesville"/>
        <s v="Circleville"/>
        <s v="Pleasantville"/>
        <s v="Pickerington"/>
        <s v="Amanda"/>
        <s v="Delaware"/>
        <s v="Dublin"/>
        <s v="Richwood"/>
        <s v="Wellston"/>
        <s v="Malta"/>
        <s v="Johnstown"/>
        <s v="Columbus"/>
        <s v="Reynoldsburg"/>
        <s v="Galloway"/>
        <s v="Whitehall"/>
        <s v="Blacklick"/>
        <s v="Grove City"/>
        <m/>
      </sharedItems>
    </cacheField>
    <cacheField name="County" numFmtId="0">
      <sharedItems containsBlank="1">
        <s v="Athens County"/>
        <s v="Ross County"/>
        <s v="Scioto County"/>
        <s v="Gallia County"/>
        <s v="Jefferson County"/>
        <s v="Belmont County"/>
        <s v="Washington County"/>
        <s v="Morgan County"/>
        <s v="Hocking County"/>
        <s v="Pike County"/>
        <s v="Jackson County"/>
        <s v="Galia County"/>
        <s v="Noble County"/>
        <s v="Guernsey County"/>
        <s v="Vinton County"/>
        <s v="Meigs County"/>
        <s v="Monroe County"/>
        <s v="Perry County"/>
        <s v="Jackson County "/>
        <s v="Pickaway County"/>
        <s v="Fairfield County"/>
        <s v="Delaware County"/>
        <s v="Union County"/>
        <s v="Licking County"/>
        <s v="Franklin County"/>
        <m/>
      </sharedItems>
    </cacheField>
    <cacheField name="Phone" numFmtId="0">
      <sharedItems containsBlank="1">
        <s v="(740) 753-1737"/>
        <s v="(740) 775-4250"/>
        <s v="(740) 259-3115"/>
        <s v="(740) 259-2366"/>
        <s v="(740)773-2638"/>
        <s v="(740)773-4103"/>
        <s v="(740)367-7283"/>
        <s v="(740)245-5334"/>
        <s v="(740)282-9741"/>
        <s v="(740)425-3116"/>
        <s v="(740)264-1163"/>
        <s v="(740)374-6530"/>
        <s v="(740)962-2944"/>
        <s v="(740)385-2069"/>
        <s v="(740) 289-2425"/>
        <s v="(740) 682-7096"/>
        <s v="740-446-3213"/>
        <s v="(740) 286-2390"/>
        <s v="740-732-4614"/>
        <s v="(740)633-0684"/>
        <s v="(740)439-7547"/>
        <s v="(740)767-3434"/>
        <s v="(740)596-4155"/>
        <s v="(740)985-3329"/>
        <s v="(740)435-1100"/>
        <s v="(740)472-0953"/>
        <s v="(740)483-1358"/>
        <s v="(740)662-6691"/>
        <s v="740-743-1303 (district office)"/>
        <s v="(740)987-3751"/>
        <s v="(740)721-0522"/>
        <s v="(740)859-2196"/>
        <s v="(740)446-2926"/>
        <s v="(740) 286-7575"/>
        <s v="(740)489-5100"/>
        <s v="(740)633-1732"/>
        <s v="(740)732-5661"/>
        <s v="(740)667-3121"/>
        <s v="(740) 286-7586"/>
        <s v="(740) 286-1831"/>
        <s v="(740)698-8831"/>
        <s v="(740)685-2526"/>
        <s v="(740)685-2566"/>
        <s v="(740)282-5112"/>
        <s v="(740)474-2495"/>
        <s v="(740)468-2181"/>
        <s v="(614)833-2115"/>
        <s v="(740)969-7251"/>
        <s v="(740)833-1300"/>
        <s v="(614)764-5932"/>
        <s v="(740)943-3113"/>
        <s v="(614)733-0012"/>
        <s v="(740) 384-2060"/>
        <s v="(740) 682-7055"/>
        <s v="(740) 384-6245"/>
        <s v="(740)342-4873"/>
        <s v="(740)967-5461"/>
        <s v="(614)833-2000"/>
        <s v="(614)367-1600"/>
        <s v="(614)801-8000"/>
        <s v="(614)417-5300"/>
        <s v="(614)759-5100"/>
        <s v="(614)801-8275"/>
        <m/>
      </sharedItems>
    </cacheField>
    <cacheField name="Email">
      <sharedItems containsBlank="1" containsMixedTypes="1" containsNumber="1" containsInteger="1">
        <m/>
        <s v="mccallum@horizonview.net, hers is kmccallum@adena.org"/>
        <s v="emarshall@caldwell.k12.oh.us"/>
        <s v="email: llaughing@fhlancers.com"/>
        <s v="Rochelle Halley: 7403799085, extension 10026"/>
        <s v="sueferrelli@mfcsd.org"/>
        <s v="mkarr@alexanderschools.org"/>
        <s v="dawn.winlind@rollinghills.k12.oh.us"/>
        <s v="madi.fraley@rollinghills.k12.oh.us"/>
        <s v="Lgorman@rollred.org"/>
        <n v="3.0"/>
        <n v="1.0"/>
      </sharedItems>
    </cacheField>
    <cacheField name="Categorical Grouping" numFmtId="0">
      <sharedItems containsString="0" containsBlank="1" containsNumber="1" containsInteger="1">
        <n v="5.0"/>
        <n v="4.0"/>
        <m/>
        <n v="3.0"/>
        <n v="2.0"/>
        <n v="1.0"/>
      </sharedItems>
    </cacheField>
    <cacheField name="Has Open Space?" numFmtId="0">
      <sharedItems containsBlank="1">
        <m/>
        <s v="Yes"/>
        <s v="No"/>
      </sharedItems>
    </cacheField>
    <cacheField name="Space (sq ft)" numFmtId="0">
      <sharedItems containsString="0" containsBlank="1">
        <m/>
      </sharedItems>
    </cacheField>
    <cacheField name="Max Capacity" numFmtId="0">
      <sharedItems containsString="0" containsBlank="1" containsNumber="1" containsInteger="1">
        <m/>
        <n v="389.0"/>
        <n v="700.0"/>
      </sharedItems>
    </cacheField>
    <cacheField name="Past Partnerships?" numFmtId="0">
      <sharedItems containsBlank="1">
        <m/>
        <s v="Unsure"/>
      </sharedItems>
    </cacheField>
    <cacheField name="Impact Assessment Rating" numFmtId="0">
      <sharedItems containsString="0" containsBlank="1">
        <m/>
      </sharedItems>
    </cacheField>
    <cacheField name="Outcome" numFmtId="0">
      <sharedItems containsBlank="1">
        <s v="Not Interested"/>
        <s v="Call Back"/>
        <s v="Interested"/>
        <s v="Voicemail"/>
        <s v="No Answer"/>
        <m/>
      </sharedItems>
    </cacheField>
    <cacheField name="Stage" numFmtId="0">
      <sharedItems containsBlank="1">
        <s v="Cold"/>
        <s v="Assessing Fit"/>
        <m/>
        <s v="Contacted"/>
        <s v="Partnership Discussion"/>
      </sharedItems>
    </cacheField>
    <cacheField name="Call Back?" numFmtId="0">
      <sharedItems containsBlank="1">
        <m/>
        <s v="No"/>
        <s v="Emailed"/>
      </sharedItems>
    </cacheField>
    <cacheField name="Notes / Next Steps" numFmtId="0">
      <sharedItems containsBlank="1">
        <m/>
        <s v="Left a voicemail with the principal. Worth calling back"/>
        <s v="CONTACT: LATER Transfered to district office, They have a club, connect 4 club, students that dont have means but want to go to college"/>
        <s v="Left a voicemail. Worth calling back"/>
        <s v="Left a voicemail, worth calling back"/>
        <s v="Left voicemail with the principal, worth calling back"/>
        <s v="Spoke with secretary, she promised to call me back"/>
        <s v="Secretary, gave number to principal "/>
        <s v="Email Principle about details of program"/>
        <s v="I spoke to the receptionist who was new and couldn't figure out how to transfer me, she gave the assistant principal my #. See seemed earnest, great to call back if I'm not contacted first"/>
        <s v="Left voicemail with supervisor."/>
        <s v="No response, dont call back"/>
        <s v="Left message with principal, also called district office --&gt; Routed to superintendent, I left a message with both, i think it is worth a callback"/>
        <s v="Both away from desk: left message with both"/>
        <s v="Not interested"/>
        <s v="intiially uninterested, but I called their district instead of secretary and ended up giving number to superintendent"/>
        <s v="Email lavana with information about the program. They seemed insterested, but were concerned about the price potentially. She says if its for the students, they can make an exception"/>
        <s v="Call back in a week and ask to speak to Mrs. Gussler"/>
        <s v="Left voicemail with principal "/>
        <s v="Identified their Rochelle Halley: Curriculum Administator 7403799085, extension 10026. Rochelle did not answer, she was away from phone, definitelly call back"/>
        <s v="Worth Call back: Secretary is very nice, seems excited to help, but both Principals in meetings, left voicemail with guidance councellor to guidance councellor"/>
        <s v="Left voicemail with Elementary principal, Middle School Principal, Guidance Counsellor"/>
        <s v="Spoke to curriculum director, she indicated an interest in the program, specifically asking for more information, so that she can pass it on back to the superintendent. She had some questions which I think the survey would help adress"/>
        <s v="Voicemail with principal"/>
        <s v="No response, not worth callback"/>
        <s v="Left message with principal"/>
        <s v="Left Email and Voicemail"/>
        <s v="Left email: Got principals email from secretary"/>
        <s v="Left email: Got administrators email from secretary"/>
        <s v="Left email with principal: I got routed to the Steubenville Board Office: 7402833767, and Mrs. Woofe, who told me to contact the principal Mrs. Gorman: Lgorman@rollred.org"/>
        <s v="Left voicemails Call back this one seems cool"/>
        <s v="Left voicemail"/>
        <s v="Voicemail"/>
        <s v="Voicemail with secretary"/>
        <s v="Left voicemail with secretary and principal Michelle"/>
        <s v="Left voicemail with secretary"/>
        <s v="Left voicemail with Amanda the secretary"/>
        <s v="They said to call back later; but it was already late in the day"/>
        <s v="No answer"/>
        <s v="They already access JACO programming"/>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Interest per Group" cacheId="0" dataCaption="" rowGrandTotals="0" colGrandTotals="0" compact="0" compactData="0">
  <location ref="A1:G5" firstHeaderRow="0" firstDataRow="1" firstDataCol="1"/>
  <pivotFields>
    <pivotField name="Call ID" compact="0" outline="0" multipleItemSelectionAllowed="1" showAll="0">
      <items>
        <item x="0"/>
        <item x="1"/>
        <item t="default"/>
      </items>
    </pivotField>
    <pivotField name="Date" compact="0" numFmtId="164" outline="0" multipleItemSelectionAllowed="1" showAll="0">
      <items>
        <item x="0"/>
        <item x="1"/>
        <item x="2"/>
        <item x="3"/>
        <item x="4"/>
        <item x="5"/>
        <item x="6"/>
        <item x="7"/>
        <item x="8"/>
        <item t="default"/>
      </items>
    </pivotField>
    <pivotField name="Caller Name" compact="0" outline="0" multipleItemSelectionAllowed="1" showAll="0">
      <items>
        <item x="0"/>
        <item x="1"/>
        <item x="2"/>
        <item x="3"/>
        <item x="4"/>
        <item x="5"/>
        <item t="default"/>
      </items>
    </pivotField>
    <pivotField name="Contact Name" compact="0" outline="0" multipleItemSelectionAllowed="1" showAll="0">
      <items>
        <item x="0"/>
        <item x="1"/>
        <item x="2"/>
        <item x="3"/>
        <item x="4"/>
        <item x="5"/>
        <item x="6"/>
        <item x="7"/>
        <item x="8"/>
        <item x="9"/>
        <item x="10"/>
        <item x="11"/>
        <item x="12"/>
        <item x="13"/>
        <item x="14"/>
        <item x="15"/>
        <item x="16"/>
        <item x="17"/>
        <item x="18"/>
        <item t="default"/>
      </items>
    </pivotField>
    <pivotField name="Title" compact="0" outline="0" multipleItemSelectionAllowed="1" showAll="0">
      <items>
        <item x="0"/>
        <item x="1"/>
        <item x="2"/>
        <item x="3"/>
        <item x="4"/>
        <item x="5"/>
        <item x="6"/>
        <item x="7"/>
        <item x="8"/>
        <item x="9"/>
        <item x="10"/>
        <item x="11"/>
        <item x="12"/>
        <item x="13"/>
        <item t="default"/>
      </items>
    </pivotField>
    <pivotField name="Organiz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Coun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Ph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Email" compact="0" outline="0" multipleItemSelectionAllowed="1" showAll="0">
      <items>
        <item x="0"/>
        <item x="1"/>
        <item x="2"/>
        <item x="3"/>
        <item x="4"/>
        <item x="5"/>
        <item x="6"/>
        <item x="7"/>
        <item x="8"/>
        <item x="9"/>
        <item x="10"/>
        <item x="11"/>
        <item t="default"/>
      </items>
    </pivotField>
    <pivotField name="Categorical Grouping" axis="axisCol" dataField="1" compact="0" outline="0" multipleItemSelectionAllowed="1" showAll="0" sortType="ascending">
      <items>
        <item x="2"/>
        <item x="5"/>
        <item x="4"/>
        <item x="3"/>
        <item x="1"/>
        <item x="0"/>
        <item t="default"/>
      </items>
    </pivotField>
    <pivotField name="Has Open Space?" compact="0" outline="0" multipleItemSelectionAllowed="1" showAll="0">
      <items>
        <item x="0"/>
        <item x="1"/>
        <item x="2"/>
        <item t="default"/>
      </items>
    </pivotField>
    <pivotField name="Space (sq ft)" compact="0" outline="0" multipleItemSelectionAllowed="1" showAll="0">
      <items>
        <item x="0"/>
        <item t="default"/>
      </items>
    </pivotField>
    <pivotField name="Max Capacity" compact="0" outline="0" multipleItemSelectionAllowed="1" showAll="0">
      <items>
        <item x="0"/>
        <item x="1"/>
        <item x="2"/>
        <item t="default"/>
      </items>
    </pivotField>
    <pivotField name="Past Partnerships?" compact="0" outline="0" multipleItemSelectionAllowed="1" showAll="0">
      <items>
        <item x="0"/>
        <item x="1"/>
        <item t="default"/>
      </items>
    </pivotField>
    <pivotField name="Impact Assessment Rating" compact="0" outline="0" multipleItemSelectionAllowed="1" showAll="0">
      <items>
        <item x="0"/>
        <item t="default"/>
      </items>
    </pivotField>
    <pivotField name="Group" axis="axisRow" compact="0" outline="0" multipleItemSelectionAllowed="1" showAll="0" sortType="ascending">
      <items>
        <item h="1" x="5"/>
        <item x="1"/>
        <item x="2"/>
        <item h="1" x="4"/>
        <item h="1" x="0"/>
        <item x="3"/>
        <item t="default"/>
      </items>
    </pivotField>
    <pivotField name="Stage" compact="0" outline="0" multipleItemSelectionAllowed="1" showAll="0">
      <items>
        <item x="0"/>
        <item x="1"/>
        <item x="2"/>
        <item x="3"/>
        <item x="4"/>
        <item t="default"/>
      </items>
    </pivotField>
    <pivotField name="Call Back?" compact="0" outline="0" multipleItemSelectionAllowed="1" showAll="0">
      <items>
        <item x="0"/>
        <item x="1"/>
        <item x="2"/>
        <item t="default"/>
      </items>
    </pivotField>
    <pivotField name="Notes / Next Step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field x="16"/>
  </rowFields>
  <colFields>
    <field x="10"/>
  </colFields>
  <dataFields>
    <dataField name="COUNTA of Categorical Grouping" fld="10" subtotal="count" baseField="0"/>
  </dataFields>
</pivotTableDefinition>
</file>

<file path=xl/pivotTables/pivotTable2.xml><?xml version="1.0" encoding="utf-8"?>
<pivotTableDefinition xmlns="http://schemas.openxmlformats.org/spreadsheetml/2006/main" name="Interest per Group 2" cacheId="0" dataCaption="" rowGrandTotals="0" compact="0" compactData="0">
  <location ref="H1:Q13" firstHeaderRow="0" firstDataRow="9" firstDataCol="0"/>
  <pivotFields>
    <pivotField name="Call ID" compact="0" outline="0" multipleItemSelectionAllowed="1" showAll="0">
      <items>
        <item x="0"/>
        <item x="1"/>
        <item t="default"/>
      </items>
    </pivotField>
    <pivotField name="Date" compact="0" numFmtId="164" outline="0" multipleItemSelectionAllowed="1" showAll="0">
      <items>
        <item x="0"/>
        <item x="1"/>
        <item x="2"/>
        <item x="3"/>
        <item x="4"/>
        <item x="5"/>
        <item x="6"/>
        <item x="7"/>
        <item x="8"/>
        <item t="default"/>
      </items>
    </pivotField>
    <pivotField name="Caller Name" compact="0" outline="0" multipleItemSelectionAllowed="1" showAll="0">
      <items>
        <item x="0"/>
        <item x="1"/>
        <item x="2"/>
        <item x="3"/>
        <item x="4"/>
        <item x="5"/>
        <item t="default"/>
      </items>
    </pivotField>
    <pivotField name="Contact Name" axis="axisRow" compact="0" outline="0" multipleItemSelectionAllowed="1" showAll="0" sortType="ascending" defaultSubtotal="0">
      <items>
        <item x="0"/>
        <item x="18"/>
        <item x="12"/>
        <item x="7"/>
        <item x="8"/>
        <item x="3"/>
        <item x="15"/>
        <item x="6"/>
        <item x="2"/>
        <item x="10"/>
        <item x="4"/>
        <item x="5"/>
        <item x="9"/>
        <item x="13"/>
        <item x="16"/>
        <item x="11"/>
        <item x="17"/>
        <item x="1"/>
        <item x="14"/>
      </items>
    </pivotField>
    <pivotField name="Title" compact="0" outline="0" multipleItemSelectionAllowed="1" showAll="0">
      <items>
        <item x="0"/>
        <item x="1"/>
        <item x="2"/>
        <item x="3"/>
        <item x="4"/>
        <item x="5"/>
        <item x="6"/>
        <item x="7"/>
        <item x="8"/>
        <item x="9"/>
        <item x="10"/>
        <item x="11"/>
        <item x="12"/>
        <item x="13"/>
        <item t="default"/>
      </items>
    </pivotField>
    <pivotField name="Interested Organizations" axis="axisRow" compact="0" outline="0" multipleItemSelectionAllowed="1" showAll="0" sortType="ascending" defaultSubtotal="0">
      <items>
        <item x="63"/>
        <item x="6"/>
        <item x="40"/>
        <item x="59"/>
        <item x="47"/>
        <item x="35"/>
        <item x="57"/>
        <item x="58"/>
        <item x="9"/>
        <item x="60"/>
        <item x="61"/>
        <item x="62"/>
        <item x="41"/>
        <item x="7"/>
        <item x="31"/>
        <item x="34"/>
        <item x="54"/>
        <item x="18"/>
        <item x="24"/>
        <item x="20"/>
        <item x="22"/>
        <item x="1"/>
        <item x="44"/>
        <item x="37"/>
        <item x="49"/>
        <item x="43"/>
        <item x="23"/>
        <item x="27"/>
        <item x="51"/>
        <item x="28"/>
        <item x="10"/>
        <item x="33"/>
        <item x="38"/>
        <item x="17"/>
        <item x="39"/>
        <item x="48"/>
        <item x="14"/>
        <item x="56"/>
        <item x="29"/>
        <item x="13"/>
        <item x="11"/>
        <item x="19"/>
        <item x="42"/>
        <item x="30"/>
        <item x="12"/>
        <item x="4"/>
        <item x="0"/>
        <item x="50"/>
        <item x="3"/>
        <item x="15"/>
        <item x="53"/>
        <item x="46"/>
        <item x="45"/>
        <item x="26"/>
        <item x="32"/>
        <item x="36"/>
        <item x="8"/>
        <item x="21"/>
        <item x="5"/>
        <item x="2"/>
        <item x="16"/>
        <item x="52"/>
        <item x="55"/>
        <item x="25"/>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County" axis="axisRow" compact="0" outline="0" multipleItemSelectionAllowed="1" showAll="0" sortType="ascending" defaultSubtotal="0">
      <items>
        <item x="25"/>
        <item x="0"/>
        <item x="5"/>
        <item x="21"/>
        <item x="20"/>
        <item x="24"/>
        <item x="11"/>
        <item x="3"/>
        <item x="13"/>
        <item x="8"/>
        <item x="10"/>
        <item x="18"/>
        <item x="4"/>
        <item x="23"/>
        <item x="15"/>
        <item x="16"/>
        <item x="7"/>
        <item x="12"/>
        <item x="17"/>
        <item x="19"/>
        <item x="9"/>
        <item x="1"/>
        <item x="2"/>
        <item x="22"/>
        <item x="14"/>
        <item x="6"/>
      </items>
    </pivotField>
    <pivotField name="Phone" axis="axisRow" compact="0" outline="0" multipleItemSelectionAllowed="1" showAll="0" sortType="ascending">
      <items>
        <item x="63"/>
        <item x="58"/>
        <item x="60"/>
        <item x="51"/>
        <item x="61"/>
        <item x="49"/>
        <item x="59"/>
        <item x="62"/>
        <item x="57"/>
        <item x="46"/>
        <item x="3"/>
        <item x="2"/>
        <item x="39"/>
        <item x="17"/>
        <item x="33"/>
        <item x="38"/>
        <item x="14"/>
        <item x="52"/>
        <item x="54"/>
        <item x="53"/>
        <item x="15"/>
        <item x="0"/>
        <item x="1"/>
        <item x="7"/>
        <item x="10"/>
        <item x="43"/>
        <item x="8"/>
        <item x="55"/>
        <item x="6"/>
        <item x="11"/>
        <item x="13"/>
        <item x="9"/>
        <item x="24"/>
        <item x="20"/>
        <item x="32"/>
        <item x="45"/>
        <item x="25"/>
        <item x="44"/>
        <item x="26"/>
        <item x="34"/>
        <item x="22"/>
        <item x="19"/>
        <item x="35"/>
        <item x="27"/>
        <item x="37"/>
        <item x="41"/>
        <item x="42"/>
        <item x="40"/>
        <item x="30"/>
        <item x="36"/>
        <item x="21"/>
        <item x="4"/>
        <item x="5"/>
        <item x="48"/>
        <item x="31"/>
        <item x="50"/>
        <item x="12"/>
        <item x="56"/>
        <item x="47"/>
        <item x="23"/>
        <item x="29"/>
        <item x="16"/>
        <item x="18"/>
        <item x="28"/>
        <item t="default"/>
      </items>
    </pivotField>
    <pivotField name="Email" axis="axisRow" compact="0" outline="0" multipleItemSelectionAllowed="1" showAll="0" sortType="ascending" defaultSubtotal="0">
      <items>
        <item x="0"/>
        <item x="11"/>
        <item x="10"/>
        <item x="7"/>
        <item x="3"/>
        <item x="2"/>
        <item x="9"/>
        <item x="8"/>
        <item x="1"/>
        <item x="6"/>
        <item x="4"/>
        <item x="5"/>
      </items>
    </pivotField>
    <pivotField name="Categorical Grouping" axis="axisRow" compact="0" outline="0" multipleItemSelectionAllowed="1" showAll="0" sortType="ascending">
      <items>
        <item x="2"/>
        <item x="5"/>
        <item x="4"/>
        <item x="3"/>
        <item x="1"/>
        <item x="0"/>
        <item t="default"/>
      </items>
    </pivotField>
    <pivotField name="Has Open Space?" compact="0" outline="0" multipleItemSelectionAllowed="1" showAll="0">
      <items>
        <item x="0"/>
        <item x="1"/>
        <item x="2"/>
        <item t="default"/>
      </items>
    </pivotField>
    <pivotField name="Space (sq ft)" compact="0" outline="0" multipleItemSelectionAllowed="1" showAll="0">
      <items>
        <item x="0"/>
        <item t="default"/>
      </items>
    </pivotField>
    <pivotField name="Max Capacity" compact="0" outline="0" multipleItemSelectionAllowed="1" showAll="0">
      <items>
        <item x="0"/>
        <item x="1"/>
        <item x="2"/>
        <item t="default"/>
      </items>
    </pivotField>
    <pivotField name="Past Partnerships?" compact="0" outline="0" multipleItemSelectionAllowed="1" showAll="0">
      <items>
        <item x="0"/>
        <item x="1"/>
        <item t="default"/>
      </items>
    </pivotField>
    <pivotField name="Impact Assessment Rating" compact="0" outline="0" multipleItemSelectionAllowed="1" showAll="0">
      <items>
        <item x="0"/>
        <item t="default"/>
      </items>
    </pivotField>
    <pivotField name="Outcome" axis="axisRow" compact="0" outline="0" multipleItemSelectionAllowed="1" showAll="0" sortType="ascending" defaultSubtotal="0">
      <items>
        <item h="1" x="5"/>
        <item h="1" x="1"/>
        <item x="2"/>
        <item h="1" x="4"/>
        <item h="1" x="0"/>
        <item h="1" x="3"/>
      </items>
    </pivotField>
    <pivotField name="Stage" axis="axisRow" compact="0" outline="0" multipleItemSelectionAllowed="1" showAll="0" sortType="ascending" defaultSubtotal="0">
      <items>
        <item x="2"/>
        <item x="1"/>
        <item x="0"/>
        <item x="3"/>
        <item x="4"/>
      </items>
    </pivotField>
    <pivotField name="Call Back?" axis="axisRow" compact="0" outline="0" multipleItemSelectionAllowed="1" showAll="0" sortType="ascending" defaultSubtotal="0">
      <items>
        <item x="0"/>
        <item x="2"/>
        <item x="1"/>
      </items>
    </pivotField>
    <pivotField name="Notes / Next Step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field x="5"/>
    <field x="7"/>
    <field x="16"/>
    <field x="17"/>
    <field x="8"/>
    <field x="3"/>
    <field x="9"/>
    <field x="18"/>
    <field x="10"/>
  </rowFields>
</pivotTableDefinition>
</file>

<file path=xl/tables/table1.xml><?xml version="1.0" encoding="utf-8"?>
<table xmlns="http://schemas.openxmlformats.org/spreadsheetml/2006/main" headerRowCount="0" ref="G17:R54" displayName="Table_1" name="Table_1" id="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heet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T30" dT="2026-03-07T03:38:48.00" personId="{7d616fa0-dc58-4b5a-b4d3-74f5218e5dc0}" id="{64c3fd08-2d3b-4e8f-b1ae-0872f5163d2c}" done="1">
    <x18tc:text xml:space="preserve">Why is she concerned about price when it is free?</x18tc:text>
  </x18tc:threadedComment>
  <x18tc:threadedComment ref="T30" dT="2026-03-10T14:42:21.00" personId="{a8aab4e9-0714-4ed6-93d9-bb23648aa7fe}" id="{7b667b30-ebff-475d-876c-4e0a776037d8}" parentId="{64c3fd08-2d3b-4e8f-b1ae-0872f5163d2c}">
    <x18tc:text xml:space="preserve">She was concerned about how they usually ask partners to pay, not us paying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8.0"/>
    <col customWidth="1" min="2" max="2" width="11.0"/>
    <col customWidth="1" min="3" max="3" width="14.0"/>
    <col customWidth="1" min="4" max="5" width="16.0"/>
    <col customWidth="1" min="6" max="6" width="22.0"/>
    <col customWidth="1" min="7" max="8" width="12.0"/>
    <col customWidth="1" min="9" max="9" width="14.14"/>
    <col customWidth="1" min="10" max="10" width="23.71"/>
    <col customWidth="1" min="11" max="11" width="24.0"/>
    <col customWidth="1" min="12" max="12" width="14.0"/>
    <col customWidth="1" min="13" max="14" width="12.0"/>
    <col customWidth="1" min="15" max="15" width="16.0"/>
    <col customWidth="1" min="16" max="18" width="20.0"/>
    <col customWidth="1" min="19" max="20" width="38.0"/>
    <col customWidth="1" min="21" max="31" width="8.71"/>
  </cols>
  <sheetData>
    <row r="1" ht="31.5" customHeight="1">
      <c r="A1" s="1" t="s">
        <v>0</v>
      </c>
      <c r="B1" s="2"/>
      <c r="C1" s="2"/>
      <c r="D1" s="2"/>
      <c r="E1" s="2"/>
      <c r="F1" s="2"/>
      <c r="G1" s="2"/>
      <c r="H1" s="2"/>
      <c r="I1" s="2"/>
      <c r="J1" s="2"/>
      <c r="K1" s="2"/>
      <c r="L1" s="2"/>
      <c r="M1" s="2"/>
      <c r="N1" s="2"/>
      <c r="O1" s="2"/>
      <c r="P1" s="2"/>
      <c r="Q1" s="2"/>
      <c r="R1" s="2"/>
      <c r="S1" s="2"/>
      <c r="T1" s="3"/>
    </row>
    <row r="2" ht="42.0" customHeight="1">
      <c r="A2" s="4" t="s">
        <v>1</v>
      </c>
      <c r="B2" s="4" t="s">
        <v>2</v>
      </c>
      <c r="C2" s="4" t="s">
        <v>3</v>
      </c>
      <c r="D2" s="4" t="s">
        <v>4</v>
      </c>
      <c r="E2" s="4" t="s">
        <v>5</v>
      </c>
      <c r="F2" s="4" t="s">
        <v>6</v>
      </c>
      <c r="G2" s="5" t="s">
        <v>7</v>
      </c>
      <c r="H2" s="4" t="s">
        <v>8</v>
      </c>
      <c r="I2" s="4" t="s">
        <v>9</v>
      </c>
      <c r="J2" s="5" t="s">
        <v>10</v>
      </c>
      <c r="K2" s="5" t="s">
        <v>11</v>
      </c>
      <c r="L2" s="4" t="s">
        <v>12</v>
      </c>
      <c r="M2" s="4" t="s">
        <v>13</v>
      </c>
      <c r="N2" s="4" t="s">
        <v>14</v>
      </c>
      <c r="O2" s="4" t="s">
        <v>15</v>
      </c>
      <c r="P2" s="5" t="s">
        <v>16</v>
      </c>
      <c r="Q2" s="4" t="s">
        <v>17</v>
      </c>
      <c r="R2" s="4" t="s">
        <v>18</v>
      </c>
      <c r="S2" s="5" t="s">
        <v>19</v>
      </c>
      <c r="T2" s="4" t="s">
        <v>20</v>
      </c>
    </row>
    <row r="3">
      <c r="A3" s="6"/>
      <c r="B3" s="7">
        <v>46083.0</v>
      </c>
      <c r="C3" s="6" t="s">
        <v>21</v>
      </c>
      <c r="D3" s="8"/>
      <c r="E3" s="8"/>
      <c r="F3" s="6" t="s">
        <v>22</v>
      </c>
      <c r="G3" s="6" t="s">
        <v>23</v>
      </c>
      <c r="H3" s="6" t="s">
        <v>24</v>
      </c>
      <c r="I3" s="6" t="s">
        <v>25</v>
      </c>
      <c r="J3" s="8"/>
      <c r="K3" s="6">
        <v>5.0</v>
      </c>
      <c r="L3" s="8"/>
      <c r="M3" s="8"/>
      <c r="N3" s="8"/>
      <c r="O3" s="8"/>
      <c r="P3" s="6"/>
      <c r="Q3" s="6" t="s">
        <v>26</v>
      </c>
      <c r="R3" s="6" t="s">
        <v>27</v>
      </c>
      <c r="S3" s="8"/>
      <c r="T3" s="8"/>
    </row>
    <row r="4">
      <c r="A4" s="6"/>
      <c r="B4" s="7">
        <v>46083.0</v>
      </c>
      <c r="C4" s="6" t="s">
        <v>21</v>
      </c>
      <c r="D4" s="8"/>
      <c r="E4" s="8"/>
      <c r="F4" s="6" t="s">
        <v>28</v>
      </c>
      <c r="G4" s="6" t="s">
        <v>29</v>
      </c>
      <c r="H4" s="6" t="s">
        <v>30</v>
      </c>
      <c r="I4" s="6" t="s">
        <v>31</v>
      </c>
      <c r="J4" s="8"/>
      <c r="K4" s="6">
        <v>4.0</v>
      </c>
      <c r="L4" s="8"/>
      <c r="M4" s="8"/>
      <c r="N4" s="8"/>
      <c r="O4" s="8"/>
      <c r="P4" s="6"/>
      <c r="Q4" s="6" t="s">
        <v>26</v>
      </c>
      <c r="R4" s="6" t="s">
        <v>27</v>
      </c>
      <c r="S4" s="8"/>
      <c r="T4" s="8"/>
    </row>
    <row r="5">
      <c r="A5" s="9"/>
      <c r="B5" s="10">
        <v>46084.0</v>
      </c>
      <c r="C5" s="9" t="s">
        <v>32</v>
      </c>
      <c r="D5" s="11"/>
      <c r="E5" s="11"/>
      <c r="F5" s="9" t="s">
        <v>33</v>
      </c>
      <c r="G5" s="9" t="s">
        <v>34</v>
      </c>
      <c r="H5" s="9" t="s">
        <v>35</v>
      </c>
      <c r="I5" s="9" t="s">
        <v>36</v>
      </c>
      <c r="J5" s="11"/>
      <c r="K5" s="11"/>
      <c r="L5" s="11"/>
      <c r="M5" s="11"/>
      <c r="N5" s="11"/>
      <c r="O5" s="11"/>
      <c r="P5" s="9"/>
      <c r="Q5" s="9" t="s">
        <v>37</v>
      </c>
      <c r="R5" s="9" t="s">
        <v>27</v>
      </c>
      <c r="S5" s="9" t="s">
        <v>38</v>
      </c>
      <c r="T5" s="9" t="s">
        <v>39</v>
      </c>
    </row>
    <row r="6">
      <c r="A6" s="6"/>
      <c r="B6" s="7">
        <v>46084.0</v>
      </c>
      <c r="C6" s="6" t="s">
        <v>32</v>
      </c>
      <c r="D6" s="8"/>
      <c r="E6" s="8"/>
      <c r="F6" s="6" t="s">
        <v>40</v>
      </c>
      <c r="G6" s="6" t="s">
        <v>41</v>
      </c>
      <c r="H6" s="6" t="s">
        <v>35</v>
      </c>
      <c r="I6" s="6" t="s">
        <v>42</v>
      </c>
      <c r="J6" s="8"/>
      <c r="K6" s="6"/>
      <c r="L6" s="8"/>
      <c r="M6" s="8"/>
      <c r="N6" s="8"/>
      <c r="O6" s="8"/>
      <c r="P6" s="6"/>
      <c r="Q6" s="6" t="s">
        <v>37</v>
      </c>
      <c r="R6" s="6" t="s">
        <v>27</v>
      </c>
      <c r="S6" s="6" t="s">
        <v>38</v>
      </c>
      <c r="T6" s="6" t="s">
        <v>39</v>
      </c>
    </row>
    <row r="7">
      <c r="A7" s="11"/>
      <c r="B7" s="7">
        <v>46084.0</v>
      </c>
      <c r="C7" s="9" t="s">
        <v>21</v>
      </c>
      <c r="D7" s="9" t="s">
        <v>43</v>
      </c>
      <c r="E7" s="11"/>
      <c r="F7" s="12" t="s">
        <v>44</v>
      </c>
      <c r="G7" s="13" t="s">
        <v>45</v>
      </c>
      <c r="H7" s="14" t="s">
        <v>30</v>
      </c>
      <c r="I7" s="12" t="s">
        <v>46</v>
      </c>
      <c r="J7" s="9" t="s">
        <v>47</v>
      </c>
      <c r="K7" s="15">
        <v>4.0</v>
      </c>
      <c r="L7" s="9" t="s">
        <v>48</v>
      </c>
      <c r="M7" s="11"/>
      <c r="N7" s="9">
        <v>389.0</v>
      </c>
      <c r="O7" s="11"/>
      <c r="P7" s="9"/>
      <c r="Q7" s="9" t="s">
        <v>49</v>
      </c>
      <c r="R7" s="9" t="s">
        <v>50</v>
      </c>
      <c r="S7" s="15" t="s">
        <v>51</v>
      </c>
      <c r="T7" s="15" t="s">
        <v>52</v>
      </c>
    </row>
    <row r="8">
      <c r="A8" s="8" t="str">
        <f t="shared" ref="A8:A14" si="1">IF(B8&gt;"",ROW()-3,"")</f>
        <v/>
      </c>
      <c r="B8" s="7">
        <v>46084.0</v>
      </c>
      <c r="C8" s="6" t="s">
        <v>21</v>
      </c>
      <c r="D8" s="8"/>
      <c r="E8" s="8"/>
      <c r="F8" s="6" t="s">
        <v>53</v>
      </c>
      <c r="G8" s="6" t="s">
        <v>45</v>
      </c>
      <c r="H8" s="6" t="s">
        <v>30</v>
      </c>
      <c r="I8" s="6" t="s">
        <v>54</v>
      </c>
      <c r="J8" s="6"/>
      <c r="K8" s="6">
        <v>4.0</v>
      </c>
      <c r="L8" s="6" t="s">
        <v>38</v>
      </c>
      <c r="M8" s="8"/>
      <c r="N8" s="6"/>
      <c r="O8" s="8"/>
      <c r="P8" s="6"/>
      <c r="Q8" s="6" t="s">
        <v>55</v>
      </c>
      <c r="R8" s="8"/>
      <c r="S8" s="6"/>
      <c r="T8" s="6" t="s">
        <v>56</v>
      </c>
    </row>
    <row r="9">
      <c r="A9" s="11" t="str">
        <f t="shared" si="1"/>
        <v/>
      </c>
      <c r="B9" s="16">
        <v>46084.0</v>
      </c>
      <c r="C9" s="9" t="s">
        <v>21</v>
      </c>
      <c r="D9" s="11"/>
      <c r="E9" s="11"/>
      <c r="F9" s="17" t="s">
        <v>57</v>
      </c>
      <c r="G9" s="17" t="s">
        <v>58</v>
      </c>
      <c r="H9" s="17" t="s">
        <v>59</v>
      </c>
      <c r="I9" s="18" t="s">
        <v>60</v>
      </c>
      <c r="J9" s="11"/>
      <c r="K9" s="9">
        <v>4.0</v>
      </c>
      <c r="L9" s="11"/>
      <c r="M9" s="11"/>
      <c r="N9" s="11"/>
      <c r="O9" s="11"/>
      <c r="P9" s="6"/>
      <c r="Q9" s="6" t="s">
        <v>55</v>
      </c>
      <c r="R9" s="6" t="s">
        <v>27</v>
      </c>
      <c r="S9" s="6"/>
      <c r="T9" s="6" t="s">
        <v>61</v>
      </c>
    </row>
    <row r="10">
      <c r="A10" s="8" t="str">
        <f t="shared" si="1"/>
        <v/>
      </c>
      <c r="B10" s="7">
        <v>46084.0</v>
      </c>
      <c r="C10" s="6" t="s">
        <v>21</v>
      </c>
      <c r="D10" s="8"/>
      <c r="E10" s="8"/>
      <c r="F10" s="19" t="s">
        <v>62</v>
      </c>
      <c r="G10" s="19" t="s">
        <v>63</v>
      </c>
      <c r="H10" s="19" t="s">
        <v>59</v>
      </c>
      <c r="I10" s="19" t="s">
        <v>64</v>
      </c>
      <c r="J10" s="8"/>
      <c r="K10" s="6">
        <v>4.0</v>
      </c>
      <c r="L10" s="8"/>
      <c r="M10" s="8"/>
      <c r="N10" s="8"/>
      <c r="O10" s="8"/>
      <c r="P10" s="9"/>
      <c r="Q10" s="9" t="s">
        <v>55</v>
      </c>
      <c r="R10" s="9" t="s">
        <v>27</v>
      </c>
      <c r="S10" s="9"/>
      <c r="T10" s="9" t="s">
        <v>61</v>
      </c>
    </row>
    <row r="11">
      <c r="A11" s="11" t="str">
        <f t="shared" si="1"/>
        <v/>
      </c>
      <c r="B11" s="20">
        <v>46086.0</v>
      </c>
      <c r="C11" s="9" t="s">
        <v>21</v>
      </c>
      <c r="D11" s="11"/>
      <c r="E11" s="11"/>
      <c r="F11" s="9" t="s">
        <v>65</v>
      </c>
      <c r="G11" s="9" t="s">
        <v>66</v>
      </c>
      <c r="H11" s="9" t="s">
        <v>67</v>
      </c>
      <c r="I11" s="9" t="s">
        <v>68</v>
      </c>
      <c r="J11" s="11"/>
      <c r="K11" s="9">
        <v>5.0</v>
      </c>
      <c r="L11" s="9"/>
      <c r="M11" s="11"/>
      <c r="N11" s="11"/>
      <c r="O11" s="11"/>
      <c r="P11" s="15"/>
      <c r="Q11" s="15" t="s">
        <v>26</v>
      </c>
      <c r="R11" s="15" t="s">
        <v>27</v>
      </c>
      <c r="S11" s="18"/>
    </row>
    <row r="12">
      <c r="A12" s="8" t="str">
        <f t="shared" si="1"/>
        <v/>
      </c>
      <c r="B12" s="7">
        <v>46086.0</v>
      </c>
      <c r="C12" s="6" t="s">
        <v>21</v>
      </c>
      <c r="D12" s="8"/>
      <c r="E12" s="8"/>
      <c r="F12" s="6" t="s">
        <v>69</v>
      </c>
      <c r="G12" s="6" t="s">
        <v>70</v>
      </c>
      <c r="H12" s="6" t="s">
        <v>71</v>
      </c>
      <c r="I12" s="6" t="s">
        <v>72</v>
      </c>
      <c r="J12" s="8"/>
      <c r="K12" s="6">
        <v>5.0</v>
      </c>
      <c r="L12" s="6" t="s">
        <v>48</v>
      </c>
      <c r="M12" s="8"/>
      <c r="N12" s="6"/>
      <c r="O12" s="6"/>
      <c r="P12" s="6"/>
      <c r="Q12" s="6" t="s">
        <v>55</v>
      </c>
      <c r="R12" s="6" t="s">
        <v>27</v>
      </c>
      <c r="S12" s="6"/>
      <c r="T12" s="6"/>
    </row>
    <row r="13">
      <c r="A13" s="11" t="str">
        <f t="shared" si="1"/>
        <v/>
      </c>
      <c r="B13" s="20">
        <v>46086.0</v>
      </c>
      <c r="C13" s="9" t="s">
        <v>21</v>
      </c>
      <c r="D13" s="11"/>
      <c r="E13" s="11"/>
      <c r="F13" s="9" t="s">
        <v>73</v>
      </c>
      <c r="G13" s="9" t="s">
        <v>74</v>
      </c>
      <c r="H13" s="9" t="s">
        <v>67</v>
      </c>
      <c r="I13" s="9" t="s">
        <v>75</v>
      </c>
      <c r="J13" s="11"/>
      <c r="K13" s="9">
        <v>5.0</v>
      </c>
      <c r="L13" s="11"/>
      <c r="M13" s="11"/>
      <c r="N13" s="11"/>
      <c r="O13" s="11"/>
      <c r="P13" s="9"/>
      <c r="Q13" s="9" t="s">
        <v>76</v>
      </c>
      <c r="R13" s="11"/>
      <c r="S13" s="11"/>
      <c r="T13" s="11"/>
    </row>
    <row r="14">
      <c r="A14" s="8" t="str">
        <f t="shared" si="1"/>
        <v/>
      </c>
      <c r="B14" s="7">
        <v>46086.0</v>
      </c>
      <c r="C14" s="6" t="s">
        <v>21</v>
      </c>
      <c r="D14" s="6" t="s">
        <v>77</v>
      </c>
      <c r="E14" s="8"/>
      <c r="F14" s="6" t="s">
        <v>78</v>
      </c>
      <c r="G14" s="6" t="s">
        <v>79</v>
      </c>
      <c r="H14" s="6" t="s">
        <v>80</v>
      </c>
      <c r="I14" s="6" t="s">
        <v>81</v>
      </c>
      <c r="J14" s="8"/>
      <c r="K14" s="6">
        <v>3.0</v>
      </c>
      <c r="L14" s="8"/>
      <c r="M14" s="8"/>
      <c r="N14" s="6">
        <v>700.0</v>
      </c>
      <c r="O14" s="6" t="s">
        <v>82</v>
      </c>
      <c r="P14" s="8"/>
      <c r="Q14" s="8"/>
      <c r="R14" s="8"/>
      <c r="S14" s="6"/>
      <c r="T14" s="6" t="s">
        <v>83</v>
      </c>
    </row>
    <row r="15">
      <c r="A15" s="11" t="s">
        <v>84</v>
      </c>
      <c r="B15" s="21">
        <v>46086.0</v>
      </c>
      <c r="C15" s="11" t="s">
        <v>85</v>
      </c>
      <c r="D15" s="11"/>
      <c r="E15" s="11"/>
      <c r="F15" s="17" t="s">
        <v>86</v>
      </c>
      <c r="G15" s="17" t="s">
        <v>87</v>
      </c>
      <c r="H15" s="17" t="s">
        <v>88</v>
      </c>
      <c r="I15" s="17" t="s">
        <v>89</v>
      </c>
      <c r="J15" s="11"/>
      <c r="K15" s="9">
        <v>3.0</v>
      </c>
      <c r="L15" s="11"/>
      <c r="M15" s="11"/>
      <c r="N15" s="11"/>
      <c r="O15" s="11"/>
      <c r="P15" s="11"/>
      <c r="Q15" s="11" t="s">
        <v>55</v>
      </c>
      <c r="R15" s="11" t="s">
        <v>27</v>
      </c>
      <c r="S15" s="11"/>
      <c r="T15" s="11" t="s">
        <v>83</v>
      </c>
    </row>
    <row r="16">
      <c r="A16" s="8" t="s">
        <v>84</v>
      </c>
      <c r="B16" s="22">
        <v>46086.0</v>
      </c>
      <c r="C16" s="19" t="s">
        <v>21</v>
      </c>
      <c r="D16" s="8" t="s">
        <v>90</v>
      </c>
      <c r="E16" s="8" t="s">
        <v>91</v>
      </c>
      <c r="F16" s="23" t="s">
        <v>92</v>
      </c>
      <c r="G16" s="19" t="s">
        <v>93</v>
      </c>
      <c r="H16" s="19" t="s">
        <v>94</v>
      </c>
      <c r="I16" s="19" t="s">
        <v>95</v>
      </c>
      <c r="J16" s="8"/>
      <c r="K16" s="6">
        <v>3.0</v>
      </c>
      <c r="L16" s="19"/>
      <c r="M16" s="8"/>
      <c r="N16" s="8"/>
      <c r="O16" s="8"/>
      <c r="P16" s="19"/>
      <c r="Q16" s="19" t="s">
        <v>55</v>
      </c>
      <c r="R16" s="19" t="s">
        <v>27</v>
      </c>
      <c r="S16" s="19"/>
      <c r="T16" s="19" t="s">
        <v>83</v>
      </c>
    </row>
    <row r="17">
      <c r="A17" s="11" t="s">
        <v>84</v>
      </c>
      <c r="B17" s="21">
        <v>46086.0</v>
      </c>
      <c r="C17" s="17" t="s">
        <v>21</v>
      </c>
      <c r="D17" s="17"/>
      <c r="E17" s="17" t="s">
        <v>91</v>
      </c>
      <c r="F17" s="17" t="s">
        <v>96</v>
      </c>
      <c r="G17" s="17" t="s">
        <v>97</v>
      </c>
      <c r="H17" s="17" t="s">
        <v>98</v>
      </c>
      <c r="I17" s="17" t="s">
        <v>99</v>
      </c>
      <c r="J17" s="11"/>
      <c r="K17" s="9">
        <v>4.0</v>
      </c>
      <c r="L17" s="17"/>
      <c r="M17" s="11"/>
      <c r="N17" s="11"/>
      <c r="O17" s="11"/>
      <c r="P17" s="17"/>
      <c r="Q17" s="17" t="s">
        <v>55</v>
      </c>
      <c r="R17" s="17" t="s">
        <v>27</v>
      </c>
      <c r="S17" s="17"/>
      <c r="T17" s="17" t="s">
        <v>83</v>
      </c>
    </row>
    <row r="18">
      <c r="A18" s="11" t="s">
        <v>84</v>
      </c>
      <c r="B18" s="21">
        <v>46086.0</v>
      </c>
      <c r="C18" s="17" t="s">
        <v>21</v>
      </c>
      <c r="D18" s="11"/>
      <c r="E18" s="17" t="s">
        <v>100</v>
      </c>
      <c r="F18" s="17" t="s">
        <v>101</v>
      </c>
      <c r="G18" s="17" t="s">
        <v>102</v>
      </c>
      <c r="H18" s="17" t="s">
        <v>103</v>
      </c>
      <c r="I18" s="17" t="s">
        <v>104</v>
      </c>
      <c r="J18" s="11"/>
      <c r="K18" s="9">
        <v>4.0</v>
      </c>
      <c r="L18" s="11" t="s">
        <v>48</v>
      </c>
      <c r="M18" s="11"/>
      <c r="N18" s="11"/>
      <c r="O18" s="11"/>
      <c r="P18" s="17"/>
      <c r="Q18" s="17" t="s">
        <v>37</v>
      </c>
      <c r="R18" s="17"/>
      <c r="S18" s="9" t="s">
        <v>38</v>
      </c>
      <c r="T18" s="17" t="s">
        <v>105</v>
      </c>
    </row>
    <row r="19" ht="15.75" customHeight="1">
      <c r="A19" s="8" t="s">
        <v>84</v>
      </c>
      <c r="B19" s="22">
        <v>46087.0</v>
      </c>
      <c r="C19" s="19" t="s">
        <v>106</v>
      </c>
      <c r="D19" s="8" t="s">
        <v>107</v>
      </c>
      <c r="E19" s="19" t="s">
        <v>91</v>
      </c>
      <c r="F19" s="19" t="s">
        <v>108</v>
      </c>
      <c r="G19" s="19" t="s">
        <v>109</v>
      </c>
      <c r="H19" s="19" t="s">
        <v>110</v>
      </c>
      <c r="I19" s="19" t="s">
        <v>111</v>
      </c>
      <c r="J19" s="8"/>
      <c r="K19" s="6">
        <v>4.0</v>
      </c>
      <c r="L19" s="19"/>
      <c r="M19" s="8"/>
      <c r="N19" s="8"/>
      <c r="O19" s="8"/>
      <c r="P19" s="19"/>
      <c r="Q19" s="19" t="s">
        <v>55</v>
      </c>
      <c r="R19" s="8" t="s">
        <v>27</v>
      </c>
      <c r="S19" s="19"/>
      <c r="T19" s="19"/>
    </row>
    <row r="20" ht="15.75" customHeight="1">
      <c r="A20" s="11" t="s">
        <v>84</v>
      </c>
      <c r="B20" s="24">
        <v>46087.0</v>
      </c>
      <c r="C20" s="17" t="s">
        <v>106</v>
      </c>
      <c r="D20" s="17" t="s">
        <v>112</v>
      </c>
      <c r="E20" s="17" t="s">
        <v>100</v>
      </c>
      <c r="F20" s="17" t="s">
        <v>113</v>
      </c>
      <c r="G20" s="17" t="s">
        <v>114</v>
      </c>
      <c r="H20" s="17" t="s">
        <v>103</v>
      </c>
      <c r="I20" s="17" t="s">
        <v>115</v>
      </c>
      <c r="J20" s="17"/>
      <c r="K20" s="9">
        <v>4.0</v>
      </c>
      <c r="L20" s="11"/>
      <c r="M20" s="11"/>
      <c r="N20" s="11"/>
      <c r="O20" s="11"/>
      <c r="P20" s="17"/>
      <c r="Q20" s="17" t="s">
        <v>37</v>
      </c>
      <c r="R20" s="17" t="s">
        <v>27</v>
      </c>
      <c r="S20" s="9" t="s">
        <v>38</v>
      </c>
      <c r="T20" s="17" t="s">
        <v>116</v>
      </c>
    </row>
    <row r="21" ht="15.75" customHeight="1">
      <c r="A21" s="8" t="s">
        <v>84</v>
      </c>
      <c r="B21" s="25">
        <v>46087.0</v>
      </c>
      <c r="C21" s="19" t="s">
        <v>32</v>
      </c>
      <c r="D21" s="19" t="s">
        <v>117</v>
      </c>
      <c r="E21" s="19"/>
      <c r="F21" s="19" t="s">
        <v>118</v>
      </c>
      <c r="G21" s="19" t="s">
        <v>119</v>
      </c>
      <c r="H21" s="19" t="s">
        <v>120</v>
      </c>
      <c r="I21" s="19" t="s">
        <v>121</v>
      </c>
      <c r="J21" s="8" t="s">
        <v>122</v>
      </c>
      <c r="K21" s="6">
        <v>5.0</v>
      </c>
      <c r="L21" s="8"/>
      <c r="M21" s="8"/>
      <c r="N21" s="8"/>
      <c r="O21" s="8"/>
      <c r="P21" s="19"/>
      <c r="Q21" s="19" t="s">
        <v>49</v>
      </c>
      <c r="R21" s="19" t="s">
        <v>123</v>
      </c>
      <c r="S21" s="6" t="s">
        <v>38</v>
      </c>
      <c r="T21" s="19" t="s">
        <v>124</v>
      </c>
    </row>
    <row r="22" ht="15.75" customHeight="1">
      <c r="A22" s="11" t="s">
        <v>84</v>
      </c>
      <c r="B22" s="21">
        <v>46087.0</v>
      </c>
      <c r="C22" s="17" t="s">
        <v>21</v>
      </c>
      <c r="D22" s="17"/>
      <c r="E22" s="11" t="s">
        <v>100</v>
      </c>
      <c r="F22" s="17" t="s">
        <v>125</v>
      </c>
      <c r="G22" s="17" t="s">
        <v>126</v>
      </c>
      <c r="H22" s="17" t="s">
        <v>71</v>
      </c>
      <c r="I22" s="17" t="s">
        <v>127</v>
      </c>
      <c r="J22" s="17"/>
      <c r="K22" s="9">
        <v>5.0</v>
      </c>
      <c r="L22" s="11"/>
      <c r="M22" s="11"/>
      <c r="N22" s="11"/>
      <c r="O22" s="11"/>
      <c r="P22" s="17"/>
      <c r="Q22" s="17" t="s">
        <v>37</v>
      </c>
      <c r="R22" s="17" t="s">
        <v>123</v>
      </c>
      <c r="S22" s="9" t="s">
        <v>38</v>
      </c>
      <c r="T22" s="17" t="s">
        <v>128</v>
      </c>
    </row>
    <row r="23" ht="15.75" customHeight="1">
      <c r="A23" s="8" t="s">
        <v>84</v>
      </c>
      <c r="B23" s="22">
        <v>46087.0</v>
      </c>
      <c r="C23" s="19" t="s">
        <v>21</v>
      </c>
      <c r="D23" s="8" t="s">
        <v>129</v>
      </c>
      <c r="E23" s="19" t="s">
        <v>130</v>
      </c>
      <c r="F23" s="19" t="s">
        <v>131</v>
      </c>
      <c r="G23" s="19" t="s">
        <v>132</v>
      </c>
      <c r="H23" s="19" t="s">
        <v>133</v>
      </c>
      <c r="I23" s="19" t="s">
        <v>134</v>
      </c>
      <c r="J23" s="19"/>
      <c r="K23" s="6">
        <v>5.0</v>
      </c>
      <c r="L23" s="8"/>
      <c r="M23" s="8"/>
      <c r="N23" s="8"/>
      <c r="O23" s="8"/>
      <c r="P23" s="19"/>
      <c r="Q23" s="19" t="s">
        <v>55</v>
      </c>
      <c r="R23" s="19" t="s">
        <v>123</v>
      </c>
      <c r="S23" s="19"/>
      <c r="T23" s="19" t="s">
        <v>135</v>
      </c>
    </row>
    <row r="24" ht="15.75" customHeight="1">
      <c r="A24" s="11" t="s">
        <v>84</v>
      </c>
      <c r="B24" s="21">
        <v>46087.0</v>
      </c>
      <c r="C24" s="17" t="s">
        <v>21</v>
      </c>
      <c r="D24" s="17"/>
      <c r="E24" s="17"/>
      <c r="F24" s="17" t="s">
        <v>136</v>
      </c>
      <c r="G24" s="17" t="s">
        <v>137</v>
      </c>
      <c r="H24" s="17" t="s">
        <v>24</v>
      </c>
      <c r="I24" s="17" t="s">
        <v>138</v>
      </c>
      <c r="J24" s="11"/>
      <c r="K24" s="9">
        <v>3.0</v>
      </c>
      <c r="L24" s="11"/>
      <c r="M24" s="11"/>
      <c r="N24" s="11"/>
      <c r="O24" s="11"/>
      <c r="P24" s="17"/>
      <c r="Q24" s="17" t="s">
        <v>76</v>
      </c>
      <c r="R24" s="17" t="s">
        <v>27</v>
      </c>
      <c r="S24" s="17"/>
      <c r="T24" s="17" t="s">
        <v>139</v>
      </c>
    </row>
    <row r="25" ht="15.75" customHeight="1">
      <c r="A25" s="11" t="s">
        <v>84</v>
      </c>
      <c r="B25" s="21">
        <v>46087.0</v>
      </c>
      <c r="C25" s="17" t="s">
        <v>21</v>
      </c>
      <c r="D25" s="11"/>
      <c r="E25" s="11"/>
      <c r="F25" s="17" t="s">
        <v>140</v>
      </c>
      <c r="G25" s="17" t="s">
        <v>141</v>
      </c>
      <c r="H25" s="17" t="s">
        <v>142</v>
      </c>
      <c r="I25" s="17" t="s">
        <v>143</v>
      </c>
      <c r="J25" s="11"/>
      <c r="K25" s="9">
        <v>3.0</v>
      </c>
      <c r="L25" s="11"/>
      <c r="M25" s="11"/>
      <c r="N25" s="11"/>
      <c r="O25" s="11"/>
      <c r="P25" s="17"/>
      <c r="Q25" s="17" t="s">
        <v>76</v>
      </c>
      <c r="R25" s="17" t="s">
        <v>27</v>
      </c>
      <c r="S25" s="17"/>
      <c r="T25" s="17" t="s">
        <v>139</v>
      </c>
    </row>
    <row r="26" ht="15.75" customHeight="1">
      <c r="A26" s="8" t="s">
        <v>84</v>
      </c>
      <c r="B26" s="22">
        <v>46087.0</v>
      </c>
      <c r="C26" s="19" t="s">
        <v>21</v>
      </c>
      <c r="D26" s="8"/>
      <c r="E26" s="8"/>
      <c r="F26" s="19" t="s">
        <v>144</v>
      </c>
      <c r="G26" s="19" t="s">
        <v>145</v>
      </c>
      <c r="H26" s="19" t="s">
        <v>146</v>
      </c>
      <c r="I26" s="19" t="s">
        <v>147</v>
      </c>
      <c r="J26" s="8"/>
      <c r="K26" s="6">
        <v>3.0</v>
      </c>
      <c r="L26" s="8"/>
      <c r="M26" s="8"/>
      <c r="N26" s="8"/>
      <c r="O26" s="8"/>
      <c r="P26" s="19"/>
      <c r="Q26" s="19" t="s">
        <v>55</v>
      </c>
      <c r="R26" s="19" t="s">
        <v>123</v>
      </c>
      <c r="S26" s="19"/>
      <c r="T26" s="19" t="s">
        <v>148</v>
      </c>
    </row>
    <row r="27" ht="15.75" customHeight="1">
      <c r="A27" s="11" t="s">
        <v>84</v>
      </c>
      <c r="B27" s="21">
        <v>46087.0</v>
      </c>
      <c r="C27" s="17" t="s">
        <v>21</v>
      </c>
      <c r="D27" s="11" t="s">
        <v>149</v>
      </c>
      <c r="E27" s="11" t="s">
        <v>150</v>
      </c>
      <c r="F27" s="17" t="s">
        <v>151</v>
      </c>
      <c r="G27" s="17" t="s">
        <v>132</v>
      </c>
      <c r="H27" s="17" t="s">
        <v>133</v>
      </c>
      <c r="I27" s="17" t="s">
        <v>152</v>
      </c>
      <c r="K27" s="9">
        <v>5.0</v>
      </c>
      <c r="L27" s="11"/>
      <c r="M27" s="11"/>
      <c r="N27" s="17"/>
      <c r="O27" s="11"/>
      <c r="P27" s="17"/>
      <c r="Q27" s="9" t="s">
        <v>49</v>
      </c>
      <c r="R27" s="17" t="s">
        <v>123</v>
      </c>
      <c r="S27" s="17"/>
      <c r="T27" s="17" t="s">
        <v>153</v>
      </c>
    </row>
    <row r="28" ht="15.75" customHeight="1">
      <c r="A28" s="8" t="s">
        <v>84</v>
      </c>
      <c r="B28" s="22">
        <v>46087.0</v>
      </c>
      <c r="C28" s="19" t="s">
        <v>21</v>
      </c>
      <c r="D28" s="19"/>
      <c r="E28" s="19"/>
      <c r="F28" s="19" t="s">
        <v>154</v>
      </c>
      <c r="G28" s="19" t="s">
        <v>155</v>
      </c>
      <c r="H28" s="19" t="s">
        <v>156</v>
      </c>
      <c r="I28" s="19" t="s">
        <v>157</v>
      </c>
      <c r="J28" s="8"/>
      <c r="K28" s="6">
        <v>5.0</v>
      </c>
      <c r="L28" s="8"/>
      <c r="M28" s="8"/>
      <c r="N28" s="8"/>
      <c r="O28" s="8"/>
      <c r="P28" s="8"/>
      <c r="Q28" s="8" t="s">
        <v>26</v>
      </c>
      <c r="R28" s="19" t="s">
        <v>27</v>
      </c>
      <c r="S28" s="19"/>
      <c r="T28" s="19" t="s">
        <v>158</v>
      </c>
    </row>
    <row r="29" ht="15.75" customHeight="1">
      <c r="A29" s="11" t="s">
        <v>84</v>
      </c>
      <c r="B29" s="21">
        <v>46087.0</v>
      </c>
      <c r="C29" s="17" t="s">
        <v>21</v>
      </c>
      <c r="D29" s="11"/>
      <c r="E29" s="11"/>
      <c r="F29" s="17" t="s">
        <v>159</v>
      </c>
      <c r="G29" s="17" t="s">
        <v>160</v>
      </c>
      <c r="H29" s="17" t="s">
        <v>156</v>
      </c>
      <c r="I29" s="17" t="s">
        <v>161</v>
      </c>
      <c r="J29" s="11"/>
      <c r="K29" s="9">
        <v>5.0</v>
      </c>
      <c r="L29" s="11"/>
      <c r="M29" s="11"/>
      <c r="N29" s="11"/>
      <c r="O29" s="11"/>
      <c r="P29" s="17"/>
      <c r="Q29" s="17" t="s">
        <v>55</v>
      </c>
      <c r="R29" s="17" t="s">
        <v>27</v>
      </c>
      <c r="S29" s="17"/>
      <c r="T29" s="17" t="s">
        <v>162</v>
      </c>
    </row>
    <row r="30" ht="15.75" customHeight="1">
      <c r="A30" s="8" t="s">
        <v>84</v>
      </c>
      <c r="B30" s="22">
        <v>46087.0</v>
      </c>
      <c r="C30" s="19" t="s">
        <v>21</v>
      </c>
      <c r="D30" s="8" t="s">
        <v>163</v>
      </c>
      <c r="E30" s="19" t="s">
        <v>164</v>
      </c>
      <c r="F30" s="19" t="s">
        <v>165</v>
      </c>
      <c r="G30" s="19" t="s">
        <v>166</v>
      </c>
      <c r="H30" s="19" t="s">
        <v>24</v>
      </c>
      <c r="I30" s="19" t="s">
        <v>167</v>
      </c>
      <c r="J30" s="8" t="s">
        <v>168</v>
      </c>
      <c r="K30" s="6">
        <v>3.0</v>
      </c>
      <c r="L30" s="8"/>
      <c r="M30" s="8"/>
      <c r="N30" s="8"/>
      <c r="O30" s="8"/>
      <c r="P30" s="19"/>
      <c r="Q30" s="19" t="s">
        <v>49</v>
      </c>
      <c r="R30" s="19" t="s">
        <v>50</v>
      </c>
      <c r="S30" s="6" t="s">
        <v>51</v>
      </c>
      <c r="T30" s="19" t="s">
        <v>169</v>
      </c>
    </row>
    <row r="31" ht="15.75" customHeight="1">
      <c r="A31" s="11"/>
      <c r="B31" s="20">
        <v>46090.0</v>
      </c>
      <c r="C31" s="9" t="s">
        <v>106</v>
      </c>
      <c r="D31" s="9" t="s">
        <v>170</v>
      </c>
      <c r="E31" s="9" t="s">
        <v>171</v>
      </c>
      <c r="F31" s="9" t="s">
        <v>172</v>
      </c>
      <c r="G31" s="9" t="s">
        <v>173</v>
      </c>
      <c r="H31" s="9" t="s">
        <v>174</v>
      </c>
      <c r="I31" s="9" t="s">
        <v>175</v>
      </c>
      <c r="J31" s="9"/>
      <c r="K31" s="9">
        <v>2.0</v>
      </c>
      <c r="L31" s="11"/>
      <c r="M31" s="11"/>
      <c r="N31" s="11"/>
      <c r="O31" s="11"/>
      <c r="P31" s="9"/>
      <c r="Q31" s="9" t="s">
        <v>37</v>
      </c>
      <c r="R31" s="9" t="s">
        <v>27</v>
      </c>
      <c r="S31" s="9" t="s">
        <v>38</v>
      </c>
      <c r="T31" s="9" t="s">
        <v>176</v>
      </c>
    </row>
    <row r="32" ht="15.75" customHeight="1">
      <c r="A32" s="8" t="str">
        <f t="shared" ref="A32:A47" si="2">IF(B32&gt;"",ROW()-3,"")</f>
        <v/>
      </c>
      <c r="B32" s="26">
        <v>46090.0</v>
      </c>
      <c r="C32" s="6" t="s">
        <v>106</v>
      </c>
      <c r="D32" s="6" t="s">
        <v>177</v>
      </c>
      <c r="E32" s="6" t="s">
        <v>91</v>
      </c>
      <c r="F32" s="6" t="s">
        <v>178</v>
      </c>
      <c r="G32" s="6" t="s">
        <v>179</v>
      </c>
      <c r="H32" s="6" t="s">
        <v>174</v>
      </c>
      <c r="I32" s="15" t="s">
        <v>180</v>
      </c>
      <c r="J32" s="8"/>
      <c r="K32" s="6">
        <v>2.0</v>
      </c>
      <c r="L32" s="8"/>
      <c r="M32" s="8"/>
      <c r="N32" s="8"/>
      <c r="O32" s="8"/>
      <c r="P32" s="6"/>
      <c r="Q32" s="6" t="s">
        <v>55</v>
      </c>
      <c r="R32" s="6" t="s">
        <v>27</v>
      </c>
      <c r="S32" s="6"/>
      <c r="T32" s="6" t="s">
        <v>181</v>
      </c>
    </row>
    <row r="33" ht="15.75" customHeight="1">
      <c r="A33" s="11" t="str">
        <f t="shared" si="2"/>
        <v/>
      </c>
      <c r="B33" s="27">
        <v>46090.0</v>
      </c>
      <c r="C33" s="9" t="s">
        <v>106</v>
      </c>
      <c r="D33" s="9" t="s">
        <v>182</v>
      </c>
      <c r="E33" s="9" t="s">
        <v>183</v>
      </c>
      <c r="F33" s="9" t="s">
        <v>184</v>
      </c>
      <c r="G33" s="9" t="s">
        <v>185</v>
      </c>
      <c r="H33" s="9" t="s">
        <v>174</v>
      </c>
      <c r="I33" s="15" t="s">
        <v>186</v>
      </c>
      <c r="J33" s="11"/>
      <c r="K33" s="9">
        <v>2.0</v>
      </c>
      <c r="L33" s="11"/>
      <c r="M33" s="11"/>
      <c r="N33" s="11"/>
      <c r="O33" s="11"/>
      <c r="P33" s="9"/>
      <c r="Q33" s="9" t="s">
        <v>55</v>
      </c>
      <c r="R33" s="9" t="s">
        <v>27</v>
      </c>
      <c r="S33" s="9"/>
      <c r="T33" s="9" t="s">
        <v>181</v>
      </c>
    </row>
    <row r="34" ht="15.75" customHeight="1">
      <c r="A34" s="8" t="str">
        <f t="shared" si="2"/>
        <v/>
      </c>
      <c r="B34" s="7">
        <v>46090.0</v>
      </c>
      <c r="C34" s="6" t="s">
        <v>21</v>
      </c>
      <c r="D34" s="6" t="s">
        <v>187</v>
      </c>
      <c r="E34" s="6" t="s">
        <v>91</v>
      </c>
      <c r="F34" s="6" t="s">
        <v>188</v>
      </c>
      <c r="G34" s="6" t="s">
        <v>189</v>
      </c>
      <c r="H34" s="6" t="s">
        <v>67</v>
      </c>
      <c r="I34" s="6" t="s">
        <v>190</v>
      </c>
      <c r="J34" s="8"/>
      <c r="K34" s="6">
        <v>5.0</v>
      </c>
      <c r="L34" s="8"/>
      <c r="M34" s="8"/>
      <c r="N34" s="8"/>
      <c r="O34" s="8"/>
      <c r="P34" s="6"/>
      <c r="Q34" s="6" t="s">
        <v>55</v>
      </c>
      <c r="R34" s="6" t="s">
        <v>27</v>
      </c>
      <c r="S34" s="6"/>
      <c r="T34" s="6" t="s">
        <v>181</v>
      </c>
    </row>
    <row r="35" ht="15.75" customHeight="1">
      <c r="A35" s="11" t="str">
        <f t="shared" si="2"/>
        <v/>
      </c>
      <c r="B35" s="20">
        <v>46091.0</v>
      </c>
      <c r="C35" s="9" t="s">
        <v>21</v>
      </c>
      <c r="D35" s="11"/>
      <c r="E35" s="9" t="s">
        <v>191</v>
      </c>
      <c r="F35" s="9" t="s">
        <v>192</v>
      </c>
      <c r="G35" s="9" t="s">
        <v>193</v>
      </c>
      <c r="H35" s="9" t="s">
        <v>59</v>
      </c>
      <c r="I35" s="9" t="s">
        <v>194</v>
      </c>
      <c r="J35" s="15" t="s">
        <v>195</v>
      </c>
      <c r="K35" s="9">
        <v>4.0</v>
      </c>
      <c r="L35" s="11"/>
      <c r="M35" s="11"/>
      <c r="N35" s="11"/>
      <c r="O35" s="11"/>
      <c r="P35" s="9"/>
      <c r="Q35" s="9" t="s">
        <v>37</v>
      </c>
      <c r="R35" s="9" t="s">
        <v>50</v>
      </c>
      <c r="S35" s="9" t="s">
        <v>38</v>
      </c>
      <c r="T35" s="9" t="s">
        <v>196</v>
      </c>
    </row>
    <row r="36" ht="15.75" customHeight="1">
      <c r="A36" s="8" t="str">
        <f t="shared" si="2"/>
        <v/>
      </c>
      <c r="B36" s="20">
        <v>46091.0</v>
      </c>
      <c r="C36" s="6" t="s">
        <v>21</v>
      </c>
      <c r="D36" s="8"/>
      <c r="E36" s="6" t="s">
        <v>100</v>
      </c>
      <c r="F36" s="6" t="s">
        <v>197</v>
      </c>
      <c r="G36" s="6" t="s">
        <v>198</v>
      </c>
      <c r="H36" s="6" t="s">
        <v>103</v>
      </c>
      <c r="I36" s="6" t="s">
        <v>199</v>
      </c>
      <c r="J36" s="8"/>
      <c r="K36" s="6">
        <v>4.0</v>
      </c>
      <c r="L36" s="8"/>
      <c r="M36" s="8"/>
      <c r="N36" s="8"/>
      <c r="O36" s="8"/>
      <c r="P36" s="6"/>
      <c r="Q36" s="6" t="s">
        <v>37</v>
      </c>
      <c r="R36" s="6" t="s">
        <v>27</v>
      </c>
      <c r="S36" s="15" t="s">
        <v>38</v>
      </c>
      <c r="T36" s="28" t="s">
        <v>200</v>
      </c>
    </row>
    <row r="37" ht="15.75" customHeight="1">
      <c r="A37" s="11" t="str">
        <f t="shared" si="2"/>
        <v/>
      </c>
      <c r="B37" s="20">
        <v>46091.0</v>
      </c>
      <c r="C37" s="9" t="s">
        <v>21</v>
      </c>
      <c r="D37" s="11"/>
      <c r="E37" s="9" t="s">
        <v>201</v>
      </c>
      <c r="F37" s="9" t="s">
        <v>202</v>
      </c>
      <c r="G37" s="9" t="s">
        <v>203</v>
      </c>
      <c r="H37" s="9" t="s">
        <v>133</v>
      </c>
      <c r="I37" s="9" t="s">
        <v>204</v>
      </c>
      <c r="J37" s="11"/>
      <c r="K37" s="9">
        <v>5.0</v>
      </c>
      <c r="L37" s="11"/>
      <c r="M37" s="11"/>
      <c r="N37" s="11"/>
      <c r="O37" s="11"/>
      <c r="P37" s="9"/>
      <c r="Q37" s="9" t="s">
        <v>55</v>
      </c>
      <c r="R37" s="9" t="s">
        <v>27</v>
      </c>
      <c r="S37" s="9"/>
      <c r="T37" s="9" t="s">
        <v>205</v>
      </c>
    </row>
    <row r="38" ht="15.75" customHeight="1">
      <c r="A38" s="8" t="str">
        <f t="shared" si="2"/>
        <v/>
      </c>
      <c r="B38" s="7">
        <v>46091.0</v>
      </c>
      <c r="C38" s="6" t="s">
        <v>21</v>
      </c>
      <c r="D38" s="6" t="s">
        <v>206</v>
      </c>
      <c r="E38" s="6" t="s">
        <v>207</v>
      </c>
      <c r="F38" s="6" t="s">
        <v>208</v>
      </c>
      <c r="G38" s="6" t="s">
        <v>126</v>
      </c>
      <c r="H38" s="6" t="s">
        <v>71</v>
      </c>
      <c r="I38" s="6" t="s">
        <v>209</v>
      </c>
      <c r="J38" s="6" t="s">
        <v>210</v>
      </c>
      <c r="K38" s="6">
        <v>5.0</v>
      </c>
      <c r="L38" s="8"/>
      <c r="M38" s="8"/>
      <c r="N38" s="8"/>
      <c r="O38" s="8"/>
      <c r="P38" s="6"/>
      <c r="Q38" s="6" t="s">
        <v>49</v>
      </c>
      <c r="R38" s="6" t="s">
        <v>211</v>
      </c>
      <c r="S38" s="6" t="s">
        <v>51</v>
      </c>
      <c r="T38" s="6" t="s">
        <v>212</v>
      </c>
    </row>
    <row r="39" ht="15.75" customHeight="1">
      <c r="A39" s="11" t="str">
        <f t="shared" si="2"/>
        <v/>
      </c>
      <c r="B39" s="20">
        <v>46091.0</v>
      </c>
      <c r="C39" s="9" t="s">
        <v>21</v>
      </c>
      <c r="D39" s="11"/>
      <c r="E39" s="9"/>
      <c r="F39" s="9" t="s">
        <v>213</v>
      </c>
      <c r="G39" s="9" t="s">
        <v>214</v>
      </c>
      <c r="H39" s="9" t="s">
        <v>120</v>
      </c>
      <c r="I39" s="9" t="s">
        <v>215</v>
      </c>
      <c r="J39" s="11"/>
      <c r="K39" s="9">
        <v>5.0</v>
      </c>
      <c r="L39" s="11"/>
      <c r="M39" s="11"/>
      <c r="N39" s="11"/>
      <c r="O39" s="11"/>
      <c r="P39" s="9"/>
      <c r="Q39" s="9" t="s">
        <v>55</v>
      </c>
      <c r="R39" s="9" t="s">
        <v>27</v>
      </c>
      <c r="S39" s="11"/>
      <c r="T39" s="9" t="s">
        <v>216</v>
      </c>
    </row>
    <row r="40" ht="15.75" customHeight="1">
      <c r="A40" s="8" t="str">
        <f t="shared" si="2"/>
        <v/>
      </c>
      <c r="B40" s="7">
        <v>46091.0</v>
      </c>
      <c r="C40" s="6" t="s">
        <v>21</v>
      </c>
      <c r="D40" s="8"/>
      <c r="E40" s="8"/>
      <c r="F40" s="6" t="s">
        <v>217</v>
      </c>
      <c r="G40" s="6" t="s">
        <v>218</v>
      </c>
      <c r="H40" s="6" t="s">
        <v>24</v>
      </c>
      <c r="I40" s="6" t="s">
        <v>219</v>
      </c>
      <c r="J40" s="8"/>
      <c r="K40" s="6">
        <v>3.0</v>
      </c>
      <c r="L40" s="8"/>
      <c r="M40" s="8"/>
      <c r="N40" s="8"/>
      <c r="O40" s="8"/>
      <c r="P40" s="8"/>
      <c r="Q40" s="6" t="s">
        <v>76</v>
      </c>
      <c r="R40" s="6" t="s">
        <v>27</v>
      </c>
      <c r="S40" s="6" t="s">
        <v>38</v>
      </c>
      <c r="T40" s="6" t="s">
        <v>220</v>
      </c>
    </row>
    <row r="41" ht="15.75" customHeight="1">
      <c r="A41" s="11" t="str">
        <f t="shared" si="2"/>
        <v/>
      </c>
      <c r="B41" s="20">
        <v>46091.0</v>
      </c>
      <c r="C41" s="9" t="s">
        <v>21</v>
      </c>
      <c r="D41" s="11"/>
      <c r="E41" s="11"/>
      <c r="F41" s="9" t="s">
        <v>131</v>
      </c>
      <c r="G41" s="9" t="s">
        <v>132</v>
      </c>
      <c r="H41" s="9" t="s">
        <v>133</v>
      </c>
      <c r="I41" s="9" t="s">
        <v>134</v>
      </c>
      <c r="J41" s="11"/>
      <c r="K41" s="9">
        <v>5.0</v>
      </c>
      <c r="L41" s="11"/>
      <c r="M41" s="11"/>
      <c r="N41" s="11"/>
      <c r="O41" s="11"/>
      <c r="P41" s="11"/>
      <c r="Q41" s="9" t="s">
        <v>55</v>
      </c>
      <c r="R41" s="9" t="s">
        <v>27</v>
      </c>
      <c r="S41" s="11"/>
      <c r="T41" s="9" t="s">
        <v>221</v>
      </c>
    </row>
    <row r="42" ht="15.75" customHeight="1">
      <c r="A42" s="8" t="str">
        <f t="shared" si="2"/>
        <v/>
      </c>
      <c r="B42" s="26">
        <v>46093.0</v>
      </c>
      <c r="C42" s="6" t="s">
        <v>222</v>
      </c>
      <c r="D42" s="8"/>
      <c r="E42" s="8"/>
      <c r="F42" s="6" t="s">
        <v>223</v>
      </c>
      <c r="G42" s="6" t="s">
        <v>198</v>
      </c>
      <c r="H42" s="6" t="s">
        <v>103</v>
      </c>
      <c r="I42" s="15" t="s">
        <v>224</v>
      </c>
      <c r="J42" s="8"/>
      <c r="K42" s="6">
        <v>4.0</v>
      </c>
      <c r="L42" s="8"/>
      <c r="M42" s="8"/>
      <c r="N42" s="8"/>
      <c r="O42" s="8"/>
      <c r="P42" s="8"/>
      <c r="Q42" s="6" t="s">
        <v>55</v>
      </c>
      <c r="R42" s="6" t="s">
        <v>27</v>
      </c>
      <c r="S42" s="6" t="s">
        <v>38</v>
      </c>
      <c r="T42" s="8"/>
    </row>
    <row r="43" ht="15.75" customHeight="1">
      <c r="A43" s="11" t="str">
        <f t="shared" si="2"/>
        <v/>
      </c>
      <c r="B43" s="27">
        <v>46093.0</v>
      </c>
      <c r="C43" s="9" t="s">
        <v>32</v>
      </c>
      <c r="D43" s="11"/>
      <c r="E43" s="11"/>
      <c r="F43" s="9" t="s">
        <v>225</v>
      </c>
      <c r="G43" s="9" t="s">
        <v>198</v>
      </c>
      <c r="H43" s="9" t="s">
        <v>226</v>
      </c>
      <c r="I43" s="9" t="s">
        <v>227</v>
      </c>
      <c r="J43" s="11"/>
      <c r="K43" s="9">
        <v>4.0</v>
      </c>
      <c r="L43" s="11"/>
      <c r="M43" s="11"/>
      <c r="N43" s="11"/>
      <c r="O43" s="11"/>
      <c r="P43" s="11"/>
      <c r="Q43" s="9" t="s">
        <v>55</v>
      </c>
      <c r="R43" s="9" t="s">
        <v>27</v>
      </c>
      <c r="S43" s="9" t="s">
        <v>38</v>
      </c>
      <c r="T43" s="11"/>
    </row>
    <row r="44" ht="15.75" customHeight="1">
      <c r="A44" s="8" t="str">
        <f t="shared" si="2"/>
        <v/>
      </c>
      <c r="B44" s="26">
        <v>46093.0</v>
      </c>
      <c r="C44" s="6" t="s">
        <v>32</v>
      </c>
      <c r="D44" s="8"/>
      <c r="E44" s="8"/>
      <c r="F44" s="6" t="s">
        <v>228</v>
      </c>
      <c r="G44" s="6" t="s">
        <v>229</v>
      </c>
      <c r="H44" s="6" t="s">
        <v>24</v>
      </c>
      <c r="I44" s="6" t="s">
        <v>230</v>
      </c>
      <c r="J44" s="6" t="s">
        <v>231</v>
      </c>
      <c r="K44" s="6">
        <v>3.0</v>
      </c>
      <c r="L44" s="8"/>
      <c r="M44" s="8"/>
      <c r="N44" s="8"/>
      <c r="O44" s="8"/>
      <c r="P44" s="8"/>
      <c r="Q44" s="6" t="s">
        <v>55</v>
      </c>
      <c r="R44" s="6" t="s">
        <v>27</v>
      </c>
      <c r="S44" s="6" t="s">
        <v>38</v>
      </c>
      <c r="T44" s="6" t="s">
        <v>232</v>
      </c>
    </row>
    <row r="45" ht="15.75" customHeight="1">
      <c r="A45" s="11" t="str">
        <f t="shared" si="2"/>
        <v/>
      </c>
      <c r="B45" s="20">
        <v>46099.0</v>
      </c>
      <c r="C45" s="9" t="s">
        <v>21</v>
      </c>
      <c r="D45" s="9" t="s">
        <v>233</v>
      </c>
      <c r="E45" s="9" t="s">
        <v>91</v>
      </c>
      <c r="F45" s="9" t="s">
        <v>234</v>
      </c>
      <c r="G45" s="9" t="s">
        <v>235</v>
      </c>
      <c r="H45" s="9" t="s">
        <v>133</v>
      </c>
      <c r="I45" s="9" t="s">
        <v>236</v>
      </c>
      <c r="J45" s="28" t="s">
        <v>237</v>
      </c>
      <c r="K45" s="9">
        <v>3.0</v>
      </c>
      <c r="L45" s="11"/>
      <c r="M45" s="11"/>
      <c r="N45" s="11"/>
      <c r="O45" s="11"/>
      <c r="P45" s="11"/>
      <c r="Q45" s="9" t="s">
        <v>55</v>
      </c>
      <c r="R45" s="9" t="s">
        <v>27</v>
      </c>
      <c r="S45" s="9" t="s">
        <v>51</v>
      </c>
      <c r="T45" s="9" t="s">
        <v>238</v>
      </c>
    </row>
    <row r="46" ht="15.75" customHeight="1">
      <c r="A46" s="8" t="str">
        <f t="shared" si="2"/>
        <v/>
      </c>
      <c r="B46" s="7">
        <v>46099.0</v>
      </c>
      <c r="C46" s="6" t="s">
        <v>21</v>
      </c>
      <c r="D46" s="6" t="s">
        <v>239</v>
      </c>
      <c r="E46" s="6" t="s">
        <v>240</v>
      </c>
      <c r="F46" s="6" t="s">
        <v>241</v>
      </c>
      <c r="G46" s="6" t="s">
        <v>235</v>
      </c>
      <c r="H46" s="6" t="s">
        <v>133</v>
      </c>
      <c r="I46" s="6" t="s">
        <v>242</v>
      </c>
      <c r="J46" s="6" t="s">
        <v>243</v>
      </c>
      <c r="K46" s="6">
        <v>3.0</v>
      </c>
      <c r="L46" s="8"/>
      <c r="M46" s="8"/>
      <c r="N46" s="8"/>
      <c r="O46" s="8"/>
      <c r="P46" s="8"/>
      <c r="Q46" s="6" t="s">
        <v>49</v>
      </c>
      <c r="R46" s="6" t="s">
        <v>27</v>
      </c>
      <c r="S46" s="6" t="s">
        <v>51</v>
      </c>
      <c r="T46" s="6" t="s">
        <v>244</v>
      </c>
    </row>
    <row r="47" ht="15.75" customHeight="1">
      <c r="A47" s="11" t="str">
        <f t="shared" si="2"/>
        <v/>
      </c>
      <c r="B47" s="20">
        <v>46099.0</v>
      </c>
      <c r="C47" s="9" t="s">
        <v>21</v>
      </c>
      <c r="D47" s="9" t="s">
        <v>91</v>
      </c>
      <c r="E47" s="9" t="s">
        <v>245</v>
      </c>
      <c r="F47" s="9" t="s">
        <v>246</v>
      </c>
      <c r="G47" s="9" t="s">
        <v>66</v>
      </c>
      <c r="H47" s="9" t="s">
        <v>67</v>
      </c>
      <c r="I47" s="9" t="s">
        <v>247</v>
      </c>
      <c r="J47" s="9" t="s">
        <v>248</v>
      </c>
      <c r="K47" s="9">
        <v>5.0</v>
      </c>
      <c r="L47" s="11"/>
      <c r="M47" s="11"/>
      <c r="N47" s="11"/>
      <c r="O47" s="11"/>
      <c r="P47" s="11"/>
      <c r="Q47" s="9" t="s">
        <v>55</v>
      </c>
      <c r="R47" s="9" t="s">
        <v>27</v>
      </c>
      <c r="S47" s="9" t="s">
        <v>51</v>
      </c>
      <c r="T47" s="9" t="s">
        <v>249</v>
      </c>
    </row>
    <row r="48" ht="15.75" customHeight="1">
      <c r="A48" s="8"/>
      <c r="B48" s="7">
        <v>46083.0</v>
      </c>
      <c r="C48" s="6" t="s">
        <v>21</v>
      </c>
      <c r="D48" s="29"/>
      <c r="E48" s="6"/>
      <c r="F48" s="8" t="s">
        <v>250</v>
      </c>
      <c r="G48" s="6" t="s">
        <v>251</v>
      </c>
      <c r="H48" s="8" t="s">
        <v>252</v>
      </c>
      <c r="I48" s="8" t="s">
        <v>253</v>
      </c>
      <c r="J48" s="8"/>
      <c r="K48" s="6">
        <v>1.0</v>
      </c>
      <c r="L48" s="6"/>
      <c r="M48" s="8"/>
      <c r="N48" s="8"/>
      <c r="O48" s="8"/>
      <c r="P48" s="8"/>
      <c r="Q48" s="6" t="s">
        <v>55</v>
      </c>
      <c r="R48" s="6" t="s">
        <v>27</v>
      </c>
      <c r="S48" s="6"/>
      <c r="T48" s="6" t="s">
        <v>254</v>
      </c>
      <c r="U48" s="30"/>
    </row>
    <row r="49" ht="15.75" customHeight="1">
      <c r="A49" s="11" t="str">
        <f t="shared" ref="A49:A200" si="3">IF(B49&gt;"",ROW()-3,"")</f>
        <v/>
      </c>
      <c r="B49" s="20">
        <v>46083.0</v>
      </c>
      <c r="C49" s="9" t="s">
        <v>21</v>
      </c>
      <c r="D49" s="11"/>
      <c r="E49" s="11"/>
      <c r="F49" s="9" t="s">
        <v>255</v>
      </c>
      <c r="G49" s="9" t="s">
        <v>256</v>
      </c>
      <c r="H49" s="9" t="s">
        <v>257</v>
      </c>
      <c r="I49" s="9" t="s">
        <v>258</v>
      </c>
      <c r="J49" s="11"/>
      <c r="K49" s="9">
        <v>1.0</v>
      </c>
      <c r="L49" s="11"/>
      <c r="M49" s="11"/>
      <c r="N49" s="11"/>
      <c r="O49" s="11"/>
      <c r="P49" s="11"/>
      <c r="Q49" s="9" t="s">
        <v>55</v>
      </c>
      <c r="R49" s="9" t="s">
        <v>27</v>
      </c>
      <c r="S49" s="11"/>
      <c r="T49" s="28" t="s">
        <v>259</v>
      </c>
      <c r="U49" s="30"/>
    </row>
    <row r="50" ht="15.75" customHeight="1">
      <c r="A50" s="8" t="str">
        <f t="shared" si="3"/>
        <v/>
      </c>
      <c r="B50" s="7">
        <v>46084.0</v>
      </c>
      <c r="C50" s="6" t="s">
        <v>21</v>
      </c>
      <c r="D50" s="8"/>
      <c r="E50" s="8"/>
      <c r="F50" s="6" t="s">
        <v>260</v>
      </c>
      <c r="G50" s="6" t="s">
        <v>261</v>
      </c>
      <c r="H50" s="6" t="s">
        <v>257</v>
      </c>
      <c r="I50" s="6" t="s">
        <v>262</v>
      </c>
      <c r="J50" s="8"/>
      <c r="K50" s="6">
        <v>1.0</v>
      </c>
      <c r="L50" s="8"/>
      <c r="M50" s="8"/>
      <c r="N50" s="8"/>
      <c r="O50" s="8"/>
      <c r="P50" s="8"/>
      <c r="Q50" s="6" t="s">
        <v>76</v>
      </c>
      <c r="R50" s="6" t="s">
        <v>27</v>
      </c>
      <c r="S50" s="8"/>
      <c r="T50" s="8"/>
      <c r="U50" s="30"/>
    </row>
    <row r="51" ht="15.75" customHeight="1">
      <c r="A51" s="11" t="str">
        <f t="shared" si="3"/>
        <v/>
      </c>
      <c r="B51" s="20">
        <v>46084.0</v>
      </c>
      <c r="C51" s="9" t="s">
        <v>21</v>
      </c>
      <c r="D51" s="11"/>
      <c r="E51" s="11"/>
      <c r="F51" s="9" t="s">
        <v>263</v>
      </c>
      <c r="G51" s="9" t="s">
        <v>264</v>
      </c>
      <c r="H51" s="9" t="s">
        <v>257</v>
      </c>
      <c r="I51" s="9" t="s">
        <v>265</v>
      </c>
      <c r="J51" s="11"/>
      <c r="K51" s="9">
        <v>1.0</v>
      </c>
      <c r="L51" s="11"/>
      <c r="M51" s="11"/>
      <c r="N51" s="11"/>
      <c r="O51" s="11"/>
      <c r="P51" s="11"/>
      <c r="Q51" s="9" t="s">
        <v>55</v>
      </c>
      <c r="R51" s="9" t="s">
        <v>27</v>
      </c>
      <c r="S51" s="11"/>
      <c r="T51" s="9" t="s">
        <v>259</v>
      </c>
      <c r="U51" s="30"/>
    </row>
    <row r="52" ht="15.75" customHeight="1">
      <c r="A52" s="8" t="str">
        <f t="shared" si="3"/>
        <v/>
      </c>
      <c r="B52" s="7">
        <v>46084.0</v>
      </c>
      <c r="C52" s="6" t="s">
        <v>21</v>
      </c>
      <c r="D52" s="8"/>
      <c r="E52" s="8"/>
      <c r="F52" s="6" t="s">
        <v>266</v>
      </c>
      <c r="G52" s="6" t="s">
        <v>267</v>
      </c>
      <c r="H52" s="6" t="s">
        <v>268</v>
      </c>
      <c r="I52" s="6" t="s">
        <v>269</v>
      </c>
      <c r="J52" s="8"/>
      <c r="K52" s="6">
        <v>1.0</v>
      </c>
      <c r="L52" s="8"/>
      <c r="M52" s="8"/>
      <c r="N52" s="8"/>
      <c r="O52" s="8"/>
      <c r="P52" s="8"/>
      <c r="Q52" s="6" t="s">
        <v>55</v>
      </c>
      <c r="R52" s="6" t="s">
        <v>27</v>
      </c>
      <c r="S52" s="8"/>
      <c r="T52" s="8"/>
      <c r="U52" s="30"/>
    </row>
    <row r="53" ht="15.75" customHeight="1">
      <c r="A53" s="11" t="str">
        <f t="shared" si="3"/>
        <v/>
      </c>
      <c r="B53" s="20">
        <v>46084.0</v>
      </c>
      <c r="C53" s="9" t="s">
        <v>21</v>
      </c>
      <c r="D53" s="11"/>
      <c r="E53" s="11"/>
      <c r="F53" s="9" t="s">
        <v>270</v>
      </c>
      <c r="G53" s="9" t="s">
        <v>271</v>
      </c>
      <c r="H53" s="9" t="s">
        <v>268</v>
      </c>
      <c r="I53" s="9" t="s">
        <v>272</v>
      </c>
      <c r="J53" s="11"/>
      <c r="K53" s="9">
        <v>1.0</v>
      </c>
      <c r="L53" s="11"/>
      <c r="M53" s="11"/>
      <c r="N53" s="11"/>
      <c r="O53" s="11"/>
      <c r="P53" s="11"/>
      <c r="Q53" s="9" t="s">
        <v>26</v>
      </c>
      <c r="R53" s="9" t="s">
        <v>27</v>
      </c>
      <c r="S53" s="11"/>
      <c r="T53" s="11"/>
      <c r="U53" s="30"/>
    </row>
    <row r="54" ht="15.75" customHeight="1">
      <c r="A54" s="8" t="str">
        <f t="shared" si="3"/>
        <v/>
      </c>
      <c r="B54" s="7">
        <v>46084.0</v>
      </c>
      <c r="C54" s="6" t="s">
        <v>21</v>
      </c>
      <c r="D54" s="8"/>
      <c r="E54" s="8"/>
      <c r="F54" s="6" t="s">
        <v>273</v>
      </c>
      <c r="G54" s="6" t="s">
        <v>274</v>
      </c>
      <c r="H54" s="6" t="s">
        <v>275</v>
      </c>
      <c r="I54" s="6" t="s">
        <v>276</v>
      </c>
      <c r="J54" s="8"/>
      <c r="K54" s="6">
        <v>1.0</v>
      </c>
      <c r="L54" s="8"/>
      <c r="M54" s="8"/>
      <c r="N54" s="8"/>
      <c r="O54" s="8"/>
      <c r="P54" s="8"/>
      <c r="Q54" s="6" t="s">
        <v>55</v>
      </c>
      <c r="R54" s="6" t="s">
        <v>27</v>
      </c>
      <c r="S54" s="8"/>
      <c r="T54" s="6" t="s">
        <v>55</v>
      </c>
      <c r="U54" s="30"/>
    </row>
    <row r="55" ht="15.75" customHeight="1">
      <c r="A55" s="11" t="str">
        <f t="shared" si="3"/>
        <v/>
      </c>
      <c r="B55" s="20">
        <v>46084.0</v>
      </c>
      <c r="C55" s="9" t="s">
        <v>21</v>
      </c>
      <c r="D55" s="11"/>
      <c r="E55" s="11"/>
      <c r="F55" s="9" t="s">
        <v>277</v>
      </c>
      <c r="G55" s="9" t="s">
        <v>271</v>
      </c>
      <c r="H55" s="9" t="s">
        <v>275</v>
      </c>
      <c r="I55" s="9" t="s">
        <v>278</v>
      </c>
      <c r="J55" s="11"/>
      <c r="K55" s="9">
        <v>1.0</v>
      </c>
      <c r="L55" s="11"/>
      <c r="M55" s="11"/>
      <c r="N55" s="11"/>
      <c r="O55" s="11"/>
      <c r="P55" s="11"/>
      <c r="Q55" s="9" t="s">
        <v>55</v>
      </c>
      <c r="R55" s="11"/>
      <c r="S55" s="11"/>
      <c r="T55" s="9" t="s">
        <v>279</v>
      </c>
      <c r="U55" s="30"/>
    </row>
    <row r="56" ht="15.75" customHeight="1">
      <c r="A56" s="8" t="str">
        <f t="shared" si="3"/>
        <v/>
      </c>
      <c r="B56" s="7">
        <v>46084.0</v>
      </c>
      <c r="C56" s="6" t="s">
        <v>21</v>
      </c>
      <c r="D56" s="6" t="s">
        <v>91</v>
      </c>
      <c r="E56" s="6" t="s">
        <v>280</v>
      </c>
      <c r="F56" s="6" t="s">
        <v>281</v>
      </c>
      <c r="G56" s="6" t="s">
        <v>282</v>
      </c>
      <c r="H56" s="6" t="s">
        <v>103</v>
      </c>
      <c r="I56" s="6" t="s">
        <v>283</v>
      </c>
      <c r="J56" s="6"/>
      <c r="K56" s="6">
        <v>4.0</v>
      </c>
      <c r="L56" s="8"/>
      <c r="M56" s="8"/>
      <c r="N56" s="8"/>
      <c r="O56" s="8"/>
      <c r="P56" s="8"/>
      <c r="Q56" s="6" t="s">
        <v>55</v>
      </c>
      <c r="R56" s="6" t="s">
        <v>123</v>
      </c>
      <c r="S56" s="8"/>
      <c r="T56" s="6" t="s">
        <v>284</v>
      </c>
      <c r="U56" s="30"/>
    </row>
    <row r="57" ht="15.75" customHeight="1">
      <c r="A57" s="11" t="str">
        <f t="shared" si="3"/>
        <v/>
      </c>
      <c r="B57" s="20">
        <v>46084.0</v>
      </c>
      <c r="C57" s="9" t="s">
        <v>21</v>
      </c>
      <c r="D57" s="11"/>
      <c r="E57" s="11"/>
      <c r="F57" s="9" t="s">
        <v>285</v>
      </c>
      <c r="G57" s="9" t="s">
        <v>102</v>
      </c>
      <c r="H57" s="9" t="s">
        <v>103</v>
      </c>
      <c r="I57" s="9" t="s">
        <v>286</v>
      </c>
      <c r="K57" s="9">
        <v>4.0</v>
      </c>
      <c r="L57" s="11"/>
      <c r="M57" s="11"/>
      <c r="N57" s="11"/>
      <c r="O57" s="11"/>
      <c r="P57" s="11"/>
      <c r="Q57" s="9" t="s">
        <v>55</v>
      </c>
      <c r="R57" s="9" t="s">
        <v>27</v>
      </c>
      <c r="S57" s="11"/>
      <c r="T57" s="9" t="s">
        <v>287</v>
      </c>
      <c r="U57" s="30"/>
    </row>
    <row r="58" ht="15.75" customHeight="1">
      <c r="A58" s="8" t="str">
        <f t="shared" si="3"/>
        <v/>
      </c>
      <c r="B58" s="7">
        <v>46084.0</v>
      </c>
      <c r="C58" s="6" t="s">
        <v>21</v>
      </c>
      <c r="D58" s="6" t="s">
        <v>264</v>
      </c>
      <c r="E58" s="6" t="s">
        <v>100</v>
      </c>
      <c r="F58" s="6" t="s">
        <v>288</v>
      </c>
      <c r="G58" s="6" t="s">
        <v>282</v>
      </c>
      <c r="H58" s="6" t="s">
        <v>103</v>
      </c>
      <c r="I58" s="6" t="s">
        <v>289</v>
      </c>
      <c r="J58" s="6"/>
      <c r="K58" s="6">
        <v>4.0</v>
      </c>
      <c r="L58" s="8"/>
      <c r="M58" s="8"/>
      <c r="N58" s="8"/>
      <c r="O58" s="8"/>
      <c r="P58" s="8"/>
      <c r="Q58" s="6" t="s">
        <v>55</v>
      </c>
      <c r="R58" s="6" t="s">
        <v>27</v>
      </c>
      <c r="S58" s="8"/>
      <c r="T58" s="6" t="s">
        <v>290</v>
      </c>
      <c r="U58" s="30"/>
    </row>
    <row r="59" ht="15.75" customHeight="1">
      <c r="A59" s="11" t="str">
        <f t="shared" si="3"/>
        <v/>
      </c>
      <c r="B59" s="20">
        <v>46084.0</v>
      </c>
      <c r="C59" s="9" t="s">
        <v>21</v>
      </c>
      <c r="D59" s="11"/>
      <c r="E59" s="11"/>
      <c r="F59" s="9" t="s">
        <v>291</v>
      </c>
      <c r="G59" s="9" t="s">
        <v>292</v>
      </c>
      <c r="H59" s="9" t="s">
        <v>88</v>
      </c>
      <c r="I59" s="9" t="s">
        <v>293</v>
      </c>
      <c r="J59" s="9">
        <v>3.0</v>
      </c>
      <c r="K59" s="9">
        <v>4.0</v>
      </c>
      <c r="L59" s="11"/>
      <c r="M59" s="11"/>
      <c r="N59" s="11"/>
      <c r="O59" s="11"/>
      <c r="P59" s="11"/>
      <c r="Q59" s="9" t="s">
        <v>76</v>
      </c>
      <c r="R59" s="9" t="s">
        <v>27</v>
      </c>
      <c r="S59" s="11"/>
      <c r="T59" s="11"/>
      <c r="U59" s="30"/>
    </row>
    <row r="60" ht="15.75" customHeight="1">
      <c r="A60" s="8" t="str">
        <f t="shared" si="3"/>
        <v/>
      </c>
      <c r="B60" s="7">
        <v>46084.0</v>
      </c>
      <c r="C60" s="6" t="s">
        <v>21</v>
      </c>
      <c r="D60" s="8"/>
      <c r="E60" s="8"/>
      <c r="F60" s="6" t="s">
        <v>294</v>
      </c>
      <c r="G60" s="6" t="s">
        <v>295</v>
      </c>
      <c r="H60" s="6" t="s">
        <v>296</v>
      </c>
      <c r="I60" s="6" t="s">
        <v>297</v>
      </c>
      <c r="J60" s="6">
        <v>1.0</v>
      </c>
      <c r="K60" s="6">
        <v>1.0</v>
      </c>
      <c r="L60" s="8"/>
      <c r="M60" s="8"/>
      <c r="N60" s="8"/>
      <c r="O60" s="8"/>
      <c r="P60" s="8"/>
      <c r="Q60" s="6" t="s">
        <v>37</v>
      </c>
      <c r="R60" s="6" t="s">
        <v>27</v>
      </c>
      <c r="S60" s="8"/>
      <c r="T60" s="6" t="s">
        <v>298</v>
      </c>
      <c r="U60" s="30"/>
    </row>
    <row r="61" ht="15.75" customHeight="1">
      <c r="A61" s="11" t="str">
        <f t="shared" si="3"/>
        <v/>
      </c>
      <c r="B61" s="20">
        <v>46084.0</v>
      </c>
      <c r="C61" s="9" t="s">
        <v>21</v>
      </c>
      <c r="D61" s="11"/>
      <c r="E61" s="11"/>
      <c r="F61" s="9" t="s">
        <v>299</v>
      </c>
      <c r="G61" s="9" t="s">
        <v>300</v>
      </c>
      <c r="H61" s="9" t="s">
        <v>301</v>
      </c>
      <c r="I61" s="9" t="s">
        <v>302</v>
      </c>
      <c r="J61" s="9">
        <v>1.0</v>
      </c>
      <c r="K61" s="9">
        <v>1.0</v>
      </c>
      <c r="L61" s="11"/>
      <c r="M61" s="11"/>
      <c r="N61" s="11"/>
      <c r="O61" s="11"/>
      <c r="P61" s="11"/>
      <c r="Q61" s="9" t="s">
        <v>55</v>
      </c>
      <c r="R61" s="11"/>
      <c r="S61" s="11"/>
      <c r="T61" s="9" t="s">
        <v>303</v>
      </c>
      <c r="U61" s="30"/>
    </row>
    <row r="62" ht="15.75" customHeight="1">
      <c r="A62" s="8" t="str">
        <f t="shared" si="3"/>
        <v/>
      </c>
      <c r="B62" s="7">
        <v>46084.0</v>
      </c>
      <c r="C62" s="6" t="s">
        <v>21</v>
      </c>
      <c r="D62" s="8"/>
      <c r="E62" s="8"/>
      <c r="F62" s="6" t="s">
        <v>304</v>
      </c>
      <c r="G62" s="6" t="s">
        <v>305</v>
      </c>
      <c r="H62" s="6" t="s">
        <v>301</v>
      </c>
      <c r="I62" s="6" t="s">
        <v>306</v>
      </c>
      <c r="J62" s="6">
        <v>1.0</v>
      </c>
      <c r="K62" s="6">
        <v>1.0</v>
      </c>
      <c r="L62" s="8"/>
      <c r="M62" s="8"/>
      <c r="N62" s="8"/>
      <c r="O62" s="8"/>
      <c r="P62" s="8"/>
      <c r="Q62" s="6" t="s">
        <v>55</v>
      </c>
      <c r="R62" s="8"/>
      <c r="S62" s="8"/>
      <c r="T62" s="6" t="s">
        <v>55</v>
      </c>
      <c r="U62" s="30"/>
    </row>
    <row r="63" ht="15.75" customHeight="1">
      <c r="A63" s="11" t="str">
        <f t="shared" si="3"/>
        <v/>
      </c>
      <c r="B63" s="20">
        <v>46084.0</v>
      </c>
      <c r="C63" s="9" t="s">
        <v>21</v>
      </c>
      <c r="D63" s="11"/>
      <c r="E63" s="11"/>
      <c r="F63" s="9" t="s">
        <v>307</v>
      </c>
      <c r="G63" s="9" t="s">
        <v>308</v>
      </c>
      <c r="H63" s="9" t="s">
        <v>301</v>
      </c>
      <c r="I63" s="9" t="s">
        <v>309</v>
      </c>
      <c r="J63" s="9">
        <v>1.0</v>
      </c>
      <c r="K63" s="9">
        <v>1.0</v>
      </c>
      <c r="L63" s="11"/>
      <c r="M63" s="11"/>
      <c r="N63" s="11"/>
      <c r="O63" s="11"/>
      <c r="P63" s="11"/>
      <c r="Q63" s="9" t="s">
        <v>76</v>
      </c>
      <c r="R63" s="11"/>
      <c r="S63" s="11"/>
      <c r="T63" s="9" t="s">
        <v>310</v>
      </c>
      <c r="U63" s="30"/>
    </row>
    <row r="64" ht="15.75" customHeight="1">
      <c r="A64" s="8" t="str">
        <f t="shared" si="3"/>
        <v/>
      </c>
      <c r="B64" s="7">
        <v>46084.0</v>
      </c>
      <c r="C64" s="6" t="s">
        <v>21</v>
      </c>
      <c r="D64" s="8"/>
      <c r="E64" s="8"/>
      <c r="F64" s="6" t="s">
        <v>311</v>
      </c>
      <c r="G64" s="6" t="s">
        <v>312</v>
      </c>
      <c r="H64" s="6" t="s">
        <v>301</v>
      </c>
      <c r="I64" s="6" t="s">
        <v>313</v>
      </c>
      <c r="J64" s="6">
        <v>1.0</v>
      </c>
      <c r="K64" s="6">
        <v>1.0</v>
      </c>
      <c r="L64" s="8"/>
      <c r="M64" s="8"/>
      <c r="N64" s="8"/>
      <c r="O64" s="8"/>
      <c r="P64" s="8"/>
      <c r="Q64" s="6" t="s">
        <v>55</v>
      </c>
      <c r="R64" s="8"/>
      <c r="S64" s="8"/>
      <c r="T64" s="6" t="s">
        <v>55</v>
      </c>
      <c r="U64" s="30"/>
    </row>
    <row r="65" ht="15.75" customHeight="1">
      <c r="A65" s="11" t="str">
        <f t="shared" si="3"/>
        <v/>
      </c>
      <c r="B65" s="20">
        <v>46084.0</v>
      </c>
      <c r="C65" s="9" t="s">
        <v>21</v>
      </c>
      <c r="D65" s="11"/>
      <c r="E65" s="11"/>
      <c r="F65" s="9" t="s">
        <v>314</v>
      </c>
      <c r="G65" s="9" t="s">
        <v>315</v>
      </c>
      <c r="H65" s="9" t="s">
        <v>301</v>
      </c>
      <c r="I65" s="9" t="s">
        <v>316</v>
      </c>
      <c r="J65" s="9">
        <v>1.0</v>
      </c>
      <c r="K65" s="9">
        <v>1.0</v>
      </c>
      <c r="L65" s="11"/>
      <c r="M65" s="11"/>
      <c r="N65" s="11"/>
      <c r="O65" s="11"/>
      <c r="P65" s="11"/>
      <c r="Q65" s="9" t="s">
        <v>26</v>
      </c>
      <c r="R65" s="11"/>
      <c r="S65" s="11"/>
      <c r="T65" s="9" t="s">
        <v>317</v>
      </c>
      <c r="U65" s="30"/>
    </row>
    <row r="66" ht="15.75" customHeight="1">
      <c r="A66" s="8" t="str">
        <f t="shared" si="3"/>
        <v/>
      </c>
      <c r="B66" s="7">
        <v>46084.0</v>
      </c>
      <c r="C66" s="6" t="s">
        <v>21</v>
      </c>
      <c r="D66" s="8"/>
      <c r="E66" s="8"/>
      <c r="F66" s="6" t="s">
        <v>318</v>
      </c>
      <c r="G66" s="6" t="s">
        <v>319</v>
      </c>
      <c r="H66" s="6" t="s">
        <v>301</v>
      </c>
      <c r="I66" s="6" t="s">
        <v>320</v>
      </c>
      <c r="J66" s="6">
        <v>1.0</v>
      </c>
      <c r="K66" s="6">
        <v>1.0</v>
      </c>
      <c r="L66" s="8"/>
      <c r="M66" s="8"/>
      <c r="N66" s="8"/>
      <c r="O66" s="8"/>
      <c r="P66" s="8"/>
      <c r="Q66" s="6" t="s">
        <v>55</v>
      </c>
      <c r="R66" s="8"/>
      <c r="S66" s="8"/>
      <c r="T66" s="6" t="s">
        <v>55</v>
      </c>
      <c r="U66" s="30"/>
    </row>
    <row r="67" ht="15.75" customHeight="1">
      <c r="A67" s="11" t="str">
        <f t="shared" si="3"/>
        <v/>
      </c>
      <c r="B67" s="11"/>
      <c r="C67" s="11"/>
      <c r="D67" s="11"/>
      <c r="E67" s="11"/>
      <c r="F67" s="11"/>
      <c r="G67" s="11"/>
      <c r="H67" s="11"/>
      <c r="I67" s="11"/>
      <c r="J67" s="11"/>
      <c r="K67" s="11"/>
      <c r="L67" s="11"/>
      <c r="M67" s="11"/>
      <c r="N67" s="11"/>
      <c r="O67" s="11"/>
      <c r="P67" s="11"/>
      <c r="Q67" s="11"/>
      <c r="R67" s="11"/>
      <c r="S67" s="11"/>
      <c r="T67" s="11"/>
      <c r="U67" s="30"/>
    </row>
    <row r="68" ht="15.75" customHeight="1">
      <c r="A68" s="8" t="str">
        <f t="shared" si="3"/>
        <v/>
      </c>
      <c r="B68" s="8"/>
      <c r="C68" s="8"/>
      <c r="D68" s="8"/>
      <c r="E68" s="8"/>
      <c r="F68" s="8"/>
      <c r="G68" s="8"/>
      <c r="H68" s="8"/>
      <c r="I68" s="8"/>
      <c r="J68" s="8"/>
      <c r="K68" s="8"/>
      <c r="L68" s="8"/>
      <c r="M68" s="8"/>
      <c r="N68" s="8"/>
      <c r="O68" s="8"/>
      <c r="P68" s="8"/>
      <c r="Q68" s="8"/>
      <c r="R68" s="8"/>
      <c r="S68" s="8"/>
      <c r="T68" s="8"/>
      <c r="U68" s="30"/>
    </row>
    <row r="69" ht="15.75" customHeight="1">
      <c r="A69" s="11" t="str">
        <f t="shared" si="3"/>
        <v/>
      </c>
      <c r="B69" s="11"/>
      <c r="C69" s="11"/>
      <c r="D69" s="11"/>
      <c r="E69" s="11"/>
      <c r="F69" s="11"/>
      <c r="G69" s="11"/>
      <c r="H69" s="11"/>
      <c r="I69" s="11"/>
      <c r="J69" s="11"/>
      <c r="K69" s="11"/>
      <c r="L69" s="11"/>
      <c r="M69" s="11"/>
      <c r="N69" s="11"/>
      <c r="O69" s="11"/>
      <c r="P69" s="11"/>
      <c r="Q69" s="11"/>
      <c r="R69" s="11"/>
      <c r="S69" s="11"/>
      <c r="T69" s="11"/>
      <c r="U69" s="30"/>
    </row>
    <row r="70" ht="15.75" customHeight="1">
      <c r="A70" s="8" t="str">
        <f t="shared" si="3"/>
        <v/>
      </c>
      <c r="B70" s="8"/>
      <c r="C70" s="8"/>
      <c r="D70" s="8"/>
      <c r="E70" s="8"/>
      <c r="F70" s="8"/>
      <c r="G70" s="8"/>
      <c r="H70" s="8"/>
      <c r="I70" s="8"/>
      <c r="J70" s="8"/>
      <c r="K70" s="8"/>
      <c r="L70" s="8"/>
      <c r="M70" s="8"/>
      <c r="N70" s="8"/>
      <c r="O70" s="8"/>
      <c r="P70" s="8"/>
      <c r="Q70" s="8"/>
      <c r="R70" s="8"/>
      <c r="S70" s="8"/>
      <c r="T70" s="8"/>
      <c r="U70" s="30"/>
    </row>
    <row r="71" ht="15.75" customHeight="1">
      <c r="A71" s="11" t="str">
        <f t="shared" si="3"/>
        <v/>
      </c>
      <c r="B71" s="11"/>
      <c r="C71" s="11"/>
      <c r="D71" s="11"/>
      <c r="E71" s="11"/>
      <c r="F71" s="11"/>
      <c r="G71" s="11"/>
      <c r="H71" s="11"/>
      <c r="I71" s="11"/>
      <c r="J71" s="11"/>
      <c r="K71" s="11"/>
      <c r="L71" s="11"/>
      <c r="M71" s="11"/>
      <c r="N71" s="11"/>
      <c r="O71" s="11"/>
      <c r="P71" s="11"/>
      <c r="Q71" s="11"/>
      <c r="R71" s="11"/>
      <c r="S71" s="11"/>
      <c r="T71" s="11"/>
      <c r="U71" s="30"/>
    </row>
    <row r="72" ht="15.75" customHeight="1">
      <c r="A72" s="8" t="str">
        <f t="shared" si="3"/>
        <v/>
      </c>
      <c r="B72" s="8"/>
      <c r="C72" s="8"/>
      <c r="D72" s="8"/>
      <c r="E72" s="8"/>
      <c r="F72" s="8"/>
      <c r="G72" s="8"/>
      <c r="H72" s="8"/>
      <c r="I72" s="8"/>
      <c r="J72" s="8"/>
      <c r="K72" s="8"/>
      <c r="L72" s="8"/>
      <c r="M72" s="8"/>
      <c r="N72" s="8"/>
      <c r="O72" s="8"/>
      <c r="P72" s="8"/>
      <c r="Q72" s="8"/>
      <c r="R72" s="8"/>
      <c r="S72" s="8"/>
      <c r="T72" s="8"/>
      <c r="U72" s="30"/>
    </row>
    <row r="73" ht="15.75" customHeight="1">
      <c r="A73" s="11" t="str">
        <f t="shared" si="3"/>
        <v/>
      </c>
      <c r="B73" s="11"/>
      <c r="C73" s="11"/>
      <c r="D73" s="11"/>
      <c r="E73" s="11"/>
      <c r="F73" s="11"/>
      <c r="G73" s="11"/>
      <c r="H73" s="11"/>
      <c r="I73" s="11"/>
      <c r="J73" s="11"/>
      <c r="K73" s="11"/>
      <c r="L73" s="11"/>
      <c r="M73" s="11"/>
      <c r="N73" s="11"/>
      <c r="O73" s="11"/>
      <c r="P73" s="11"/>
      <c r="Q73" s="11"/>
      <c r="R73" s="11"/>
      <c r="S73" s="11"/>
      <c r="T73" s="11"/>
      <c r="U73" s="30"/>
    </row>
    <row r="74" ht="15.75" customHeight="1">
      <c r="A74" s="8" t="str">
        <f t="shared" si="3"/>
        <v/>
      </c>
      <c r="B74" s="8"/>
      <c r="C74" s="8"/>
      <c r="D74" s="8"/>
      <c r="E74" s="8"/>
      <c r="F74" s="8"/>
      <c r="G74" s="8"/>
      <c r="H74" s="8"/>
      <c r="I74" s="8"/>
      <c r="J74" s="8"/>
      <c r="K74" s="8"/>
      <c r="L74" s="8"/>
      <c r="M74" s="8"/>
      <c r="N74" s="8"/>
      <c r="O74" s="8"/>
      <c r="P74" s="8"/>
      <c r="Q74" s="8"/>
      <c r="R74" s="8"/>
      <c r="S74" s="8"/>
      <c r="T74" s="8"/>
      <c r="U74" s="30"/>
    </row>
    <row r="75" ht="15.75" customHeight="1">
      <c r="A75" s="11" t="str">
        <f t="shared" si="3"/>
        <v/>
      </c>
      <c r="B75" s="11"/>
      <c r="C75" s="11"/>
      <c r="D75" s="11"/>
      <c r="E75" s="11"/>
      <c r="F75" s="11"/>
      <c r="G75" s="11"/>
      <c r="H75" s="11"/>
      <c r="I75" s="11"/>
      <c r="J75" s="11"/>
      <c r="K75" s="11"/>
      <c r="L75" s="11"/>
      <c r="M75" s="11"/>
      <c r="N75" s="11"/>
      <c r="O75" s="11"/>
      <c r="P75" s="11"/>
      <c r="Q75" s="11"/>
      <c r="R75" s="11"/>
      <c r="S75" s="11"/>
      <c r="T75" s="11"/>
      <c r="U75" s="30"/>
    </row>
    <row r="76" ht="15.75" customHeight="1">
      <c r="A76" s="8" t="str">
        <f t="shared" si="3"/>
        <v/>
      </c>
      <c r="B76" s="8"/>
      <c r="C76" s="8"/>
      <c r="D76" s="8"/>
      <c r="E76" s="8"/>
      <c r="F76" s="8"/>
      <c r="G76" s="8"/>
      <c r="H76" s="8"/>
      <c r="I76" s="8"/>
      <c r="J76" s="8"/>
      <c r="K76" s="8"/>
      <c r="L76" s="8"/>
      <c r="M76" s="8"/>
      <c r="N76" s="8"/>
      <c r="O76" s="8"/>
      <c r="P76" s="8"/>
      <c r="Q76" s="8"/>
      <c r="R76" s="8"/>
      <c r="S76" s="8"/>
      <c r="T76" s="8"/>
      <c r="U76" s="30"/>
    </row>
    <row r="77" ht="15.75" customHeight="1">
      <c r="A77" s="11" t="str">
        <f t="shared" si="3"/>
        <v/>
      </c>
      <c r="B77" s="11"/>
      <c r="C77" s="11"/>
      <c r="D77" s="11"/>
      <c r="E77" s="11"/>
      <c r="F77" s="11"/>
      <c r="G77" s="11"/>
      <c r="H77" s="11"/>
      <c r="I77" s="11"/>
      <c r="J77" s="11"/>
      <c r="K77" s="11"/>
      <c r="L77" s="11"/>
      <c r="M77" s="11"/>
      <c r="N77" s="11"/>
      <c r="O77" s="11"/>
      <c r="P77" s="11"/>
      <c r="Q77" s="11"/>
      <c r="R77" s="11"/>
      <c r="S77" s="11"/>
      <c r="T77" s="11"/>
      <c r="U77" s="30"/>
    </row>
    <row r="78" ht="15.75" customHeight="1">
      <c r="A78" s="8" t="str">
        <f t="shared" si="3"/>
        <v/>
      </c>
      <c r="B78" s="8"/>
      <c r="C78" s="8"/>
      <c r="D78" s="8"/>
      <c r="E78" s="8"/>
      <c r="F78" s="8"/>
      <c r="G78" s="8"/>
      <c r="H78" s="8"/>
      <c r="I78" s="8"/>
      <c r="J78" s="8"/>
      <c r="K78" s="8"/>
      <c r="L78" s="8"/>
      <c r="M78" s="8"/>
      <c r="N78" s="8"/>
      <c r="O78" s="8"/>
      <c r="P78" s="8"/>
      <c r="Q78" s="8"/>
      <c r="R78" s="8"/>
      <c r="S78" s="8"/>
      <c r="T78" s="8"/>
      <c r="U78" s="30"/>
    </row>
    <row r="79" ht="15.75" customHeight="1">
      <c r="A79" s="11" t="str">
        <f t="shared" si="3"/>
        <v/>
      </c>
      <c r="B79" s="11"/>
      <c r="C79" s="11"/>
      <c r="D79" s="11"/>
      <c r="E79" s="11"/>
      <c r="F79" s="11"/>
      <c r="G79" s="11"/>
      <c r="H79" s="11"/>
      <c r="I79" s="11"/>
      <c r="J79" s="11"/>
      <c r="K79" s="11"/>
      <c r="L79" s="11"/>
      <c r="M79" s="11"/>
      <c r="N79" s="11"/>
      <c r="O79" s="11"/>
      <c r="P79" s="11"/>
      <c r="Q79" s="11"/>
      <c r="R79" s="11"/>
      <c r="S79" s="11"/>
      <c r="T79" s="11"/>
      <c r="U79" s="30"/>
    </row>
    <row r="80" ht="15.75" customHeight="1">
      <c r="A80" s="8" t="str">
        <f t="shared" si="3"/>
        <v/>
      </c>
      <c r="B80" s="8"/>
      <c r="C80" s="8"/>
      <c r="D80" s="8"/>
      <c r="E80" s="8"/>
      <c r="F80" s="8"/>
      <c r="G80" s="8"/>
      <c r="H80" s="8"/>
      <c r="I80" s="8"/>
      <c r="J80" s="8"/>
      <c r="K80" s="8"/>
      <c r="L80" s="8"/>
      <c r="M80" s="8"/>
      <c r="N80" s="8"/>
      <c r="O80" s="8"/>
      <c r="P80" s="8"/>
      <c r="Q80" s="8"/>
      <c r="R80" s="8"/>
      <c r="S80" s="8"/>
      <c r="T80" s="8"/>
      <c r="U80" s="30"/>
    </row>
    <row r="81" ht="15.75" customHeight="1">
      <c r="A81" s="11" t="str">
        <f t="shared" si="3"/>
        <v/>
      </c>
      <c r="B81" s="11"/>
      <c r="C81" s="11"/>
      <c r="D81" s="11"/>
      <c r="E81" s="11"/>
      <c r="F81" s="11"/>
      <c r="G81" s="11"/>
      <c r="H81" s="11"/>
      <c r="I81" s="11"/>
      <c r="J81" s="11"/>
      <c r="K81" s="11"/>
      <c r="L81" s="11"/>
      <c r="M81" s="11"/>
      <c r="N81" s="11"/>
      <c r="O81" s="11"/>
      <c r="P81" s="11"/>
      <c r="Q81" s="11"/>
      <c r="R81" s="11"/>
      <c r="S81" s="11"/>
      <c r="T81" s="11"/>
      <c r="U81" s="30"/>
    </row>
    <row r="82" ht="15.75" customHeight="1">
      <c r="A82" s="8" t="str">
        <f t="shared" si="3"/>
        <v/>
      </c>
      <c r="B82" s="8"/>
      <c r="C82" s="8"/>
      <c r="D82" s="8"/>
      <c r="E82" s="8"/>
      <c r="F82" s="8"/>
      <c r="G82" s="8"/>
      <c r="H82" s="8"/>
      <c r="I82" s="8"/>
      <c r="J82" s="8"/>
      <c r="K82" s="8"/>
      <c r="L82" s="8"/>
      <c r="M82" s="8"/>
      <c r="N82" s="8"/>
      <c r="O82" s="8"/>
      <c r="P82" s="8"/>
      <c r="Q82" s="8"/>
      <c r="R82" s="8"/>
      <c r="S82" s="8"/>
      <c r="T82" s="8"/>
      <c r="U82" s="30"/>
    </row>
    <row r="83" ht="15.75" customHeight="1">
      <c r="A83" s="11" t="str">
        <f t="shared" si="3"/>
        <v/>
      </c>
      <c r="B83" s="11"/>
      <c r="C83" s="11"/>
      <c r="D83" s="11"/>
      <c r="E83" s="11"/>
      <c r="F83" s="11"/>
      <c r="G83" s="11"/>
      <c r="H83" s="11"/>
      <c r="I83" s="11"/>
      <c r="J83" s="11"/>
      <c r="K83" s="11"/>
      <c r="L83" s="11"/>
      <c r="M83" s="11"/>
      <c r="N83" s="11"/>
      <c r="O83" s="11"/>
      <c r="P83" s="11"/>
      <c r="Q83" s="11"/>
      <c r="R83" s="11"/>
      <c r="S83" s="11"/>
      <c r="T83" s="11"/>
      <c r="U83" s="30"/>
    </row>
    <row r="84" ht="15.75" customHeight="1">
      <c r="A84" s="8" t="str">
        <f t="shared" si="3"/>
        <v/>
      </c>
      <c r="B84" s="8"/>
      <c r="C84" s="8"/>
      <c r="D84" s="8"/>
      <c r="E84" s="8"/>
      <c r="F84" s="8"/>
      <c r="G84" s="8"/>
      <c r="H84" s="8"/>
      <c r="I84" s="8"/>
      <c r="J84" s="8"/>
      <c r="K84" s="8"/>
      <c r="L84" s="8"/>
      <c r="M84" s="8"/>
      <c r="N84" s="8"/>
      <c r="O84" s="8"/>
      <c r="P84" s="8"/>
      <c r="Q84" s="8"/>
      <c r="R84" s="8"/>
      <c r="S84" s="8"/>
      <c r="T84" s="8"/>
      <c r="U84" s="30"/>
    </row>
    <row r="85" ht="15.75" customHeight="1">
      <c r="A85" s="11" t="str">
        <f t="shared" si="3"/>
        <v/>
      </c>
      <c r="B85" s="11"/>
      <c r="C85" s="11"/>
      <c r="D85" s="11"/>
      <c r="E85" s="11"/>
      <c r="F85" s="11"/>
      <c r="G85" s="11"/>
      <c r="H85" s="11"/>
      <c r="I85" s="11"/>
      <c r="J85" s="11"/>
      <c r="K85" s="11"/>
      <c r="L85" s="11"/>
      <c r="M85" s="11"/>
      <c r="N85" s="11"/>
      <c r="O85" s="11"/>
      <c r="P85" s="11"/>
      <c r="Q85" s="11"/>
      <c r="R85" s="11"/>
      <c r="S85" s="11"/>
      <c r="T85" s="11"/>
      <c r="U85" s="30"/>
    </row>
    <row r="86" ht="15.75" customHeight="1">
      <c r="A86" s="8" t="str">
        <f t="shared" si="3"/>
        <v/>
      </c>
      <c r="B86" s="8"/>
      <c r="C86" s="8"/>
      <c r="D86" s="8"/>
      <c r="E86" s="8"/>
      <c r="F86" s="8"/>
      <c r="G86" s="8"/>
      <c r="H86" s="8"/>
      <c r="I86" s="8"/>
      <c r="J86" s="8"/>
      <c r="K86" s="8"/>
      <c r="L86" s="8"/>
      <c r="M86" s="8"/>
      <c r="N86" s="8"/>
      <c r="O86" s="8"/>
      <c r="P86" s="8"/>
      <c r="Q86" s="8"/>
      <c r="R86" s="8"/>
      <c r="S86" s="8"/>
      <c r="T86" s="8"/>
      <c r="U86" s="30"/>
    </row>
    <row r="87" ht="15.75" customHeight="1">
      <c r="A87" s="11" t="str">
        <f t="shared" si="3"/>
        <v/>
      </c>
      <c r="B87" s="11"/>
      <c r="C87" s="11"/>
      <c r="D87" s="11"/>
      <c r="E87" s="11"/>
      <c r="F87" s="11"/>
      <c r="G87" s="11"/>
      <c r="H87" s="11"/>
      <c r="I87" s="11"/>
      <c r="J87" s="11"/>
      <c r="K87" s="11"/>
      <c r="L87" s="11"/>
      <c r="M87" s="11"/>
      <c r="N87" s="11"/>
      <c r="O87" s="11"/>
      <c r="P87" s="11"/>
      <c r="Q87" s="11"/>
      <c r="R87" s="11"/>
      <c r="S87" s="11"/>
      <c r="T87" s="11"/>
      <c r="U87" s="30"/>
    </row>
    <row r="88" ht="15.75" customHeight="1">
      <c r="A88" s="8" t="str">
        <f t="shared" si="3"/>
        <v/>
      </c>
      <c r="B88" s="8"/>
      <c r="C88" s="8"/>
      <c r="D88" s="8"/>
      <c r="E88" s="8"/>
      <c r="F88" s="8"/>
      <c r="G88" s="8"/>
      <c r="H88" s="8"/>
      <c r="I88" s="8"/>
      <c r="J88" s="8"/>
      <c r="K88" s="8"/>
      <c r="L88" s="8"/>
      <c r="M88" s="8"/>
      <c r="N88" s="8"/>
      <c r="O88" s="8"/>
      <c r="P88" s="8"/>
      <c r="Q88" s="8"/>
      <c r="R88" s="8"/>
      <c r="S88" s="8"/>
      <c r="T88" s="8"/>
      <c r="U88" s="30"/>
    </row>
    <row r="89" ht="15.75" customHeight="1">
      <c r="A89" s="11" t="str">
        <f t="shared" si="3"/>
        <v/>
      </c>
      <c r="B89" s="11"/>
      <c r="C89" s="11"/>
      <c r="D89" s="11"/>
      <c r="E89" s="11"/>
      <c r="F89" s="11"/>
      <c r="G89" s="11"/>
      <c r="H89" s="11"/>
      <c r="I89" s="11"/>
      <c r="J89" s="11"/>
      <c r="K89" s="11"/>
      <c r="L89" s="11"/>
      <c r="M89" s="11"/>
      <c r="N89" s="11"/>
      <c r="O89" s="11"/>
      <c r="P89" s="11"/>
      <c r="Q89" s="11"/>
      <c r="R89" s="11"/>
      <c r="S89" s="11"/>
      <c r="T89" s="11"/>
      <c r="U89" s="30"/>
    </row>
    <row r="90" ht="15.75" customHeight="1">
      <c r="A90" s="8" t="str">
        <f t="shared" si="3"/>
        <v/>
      </c>
      <c r="B90" s="8"/>
      <c r="C90" s="8"/>
      <c r="D90" s="8"/>
      <c r="E90" s="8"/>
      <c r="F90" s="8"/>
      <c r="G90" s="8"/>
      <c r="H90" s="8"/>
      <c r="I90" s="8"/>
      <c r="J90" s="8"/>
      <c r="K90" s="8"/>
      <c r="L90" s="8"/>
      <c r="M90" s="8"/>
      <c r="N90" s="8"/>
      <c r="O90" s="8"/>
      <c r="P90" s="8"/>
      <c r="Q90" s="8"/>
      <c r="R90" s="8"/>
      <c r="S90" s="8"/>
      <c r="T90" s="8"/>
      <c r="U90" s="30"/>
    </row>
    <row r="91" ht="15.75" customHeight="1">
      <c r="A91" s="11" t="str">
        <f t="shared" si="3"/>
        <v/>
      </c>
      <c r="B91" s="11"/>
      <c r="C91" s="11"/>
      <c r="D91" s="11"/>
      <c r="E91" s="11"/>
      <c r="F91" s="11"/>
      <c r="G91" s="11"/>
      <c r="H91" s="11"/>
      <c r="I91" s="11"/>
      <c r="J91" s="11"/>
      <c r="K91" s="11"/>
      <c r="L91" s="11"/>
      <c r="M91" s="11"/>
      <c r="N91" s="11"/>
      <c r="O91" s="11"/>
      <c r="P91" s="11"/>
      <c r="Q91" s="11"/>
      <c r="R91" s="11"/>
      <c r="S91" s="11"/>
      <c r="T91" s="11"/>
      <c r="U91" s="30"/>
    </row>
    <row r="92" ht="15.75" customHeight="1">
      <c r="A92" s="8" t="str">
        <f t="shared" si="3"/>
        <v/>
      </c>
      <c r="B92" s="8"/>
      <c r="C92" s="8"/>
      <c r="D92" s="8"/>
      <c r="E92" s="8"/>
      <c r="F92" s="8"/>
      <c r="G92" s="8"/>
      <c r="H92" s="8"/>
      <c r="I92" s="8"/>
      <c r="J92" s="8"/>
      <c r="K92" s="8"/>
      <c r="L92" s="8"/>
      <c r="M92" s="8"/>
      <c r="N92" s="8"/>
      <c r="O92" s="8"/>
      <c r="P92" s="8"/>
      <c r="Q92" s="8"/>
      <c r="R92" s="8"/>
      <c r="S92" s="8"/>
      <c r="T92" s="8"/>
      <c r="U92" s="30"/>
    </row>
    <row r="93" ht="15.75" customHeight="1">
      <c r="A93" s="11" t="str">
        <f t="shared" si="3"/>
        <v/>
      </c>
      <c r="B93" s="11"/>
      <c r="C93" s="11"/>
      <c r="D93" s="11"/>
      <c r="E93" s="11"/>
      <c r="F93" s="11"/>
      <c r="G93" s="11"/>
      <c r="H93" s="11"/>
      <c r="I93" s="11"/>
      <c r="J93" s="11"/>
      <c r="K93" s="11"/>
      <c r="L93" s="11"/>
      <c r="M93" s="11"/>
      <c r="N93" s="11"/>
      <c r="O93" s="11"/>
      <c r="P93" s="11"/>
      <c r="Q93" s="11"/>
      <c r="R93" s="11"/>
      <c r="S93" s="11"/>
      <c r="T93" s="11"/>
      <c r="U93" s="30"/>
    </row>
    <row r="94" ht="15.75" customHeight="1">
      <c r="A94" s="8" t="str">
        <f t="shared" si="3"/>
        <v/>
      </c>
      <c r="B94" s="8"/>
      <c r="C94" s="8"/>
      <c r="D94" s="8"/>
      <c r="E94" s="8"/>
      <c r="F94" s="8"/>
      <c r="G94" s="8"/>
      <c r="H94" s="8"/>
      <c r="I94" s="8"/>
      <c r="J94" s="8"/>
      <c r="K94" s="8"/>
      <c r="L94" s="8"/>
      <c r="M94" s="8"/>
      <c r="N94" s="8"/>
      <c r="O94" s="8"/>
      <c r="P94" s="8"/>
      <c r="Q94" s="8"/>
      <c r="R94" s="8"/>
      <c r="S94" s="8"/>
      <c r="T94" s="8"/>
      <c r="U94" s="30"/>
    </row>
    <row r="95" ht="15.75" customHeight="1">
      <c r="A95" s="11" t="str">
        <f t="shared" si="3"/>
        <v/>
      </c>
      <c r="B95" s="11"/>
      <c r="C95" s="11"/>
      <c r="D95" s="11"/>
      <c r="E95" s="11"/>
      <c r="F95" s="11"/>
      <c r="G95" s="11"/>
      <c r="H95" s="11"/>
      <c r="I95" s="11"/>
      <c r="J95" s="11"/>
      <c r="K95" s="11"/>
      <c r="L95" s="11"/>
      <c r="M95" s="11"/>
      <c r="N95" s="11"/>
      <c r="O95" s="11"/>
      <c r="P95" s="11"/>
      <c r="Q95" s="11"/>
      <c r="R95" s="11"/>
      <c r="S95" s="11"/>
      <c r="T95" s="11"/>
      <c r="U95" s="30"/>
    </row>
    <row r="96" ht="15.75" customHeight="1">
      <c r="A96" s="8" t="str">
        <f t="shared" si="3"/>
        <v/>
      </c>
      <c r="B96" s="8"/>
      <c r="C96" s="8"/>
      <c r="D96" s="8"/>
      <c r="E96" s="8"/>
      <c r="F96" s="8"/>
      <c r="G96" s="8"/>
      <c r="H96" s="8"/>
      <c r="I96" s="8"/>
      <c r="J96" s="8"/>
      <c r="K96" s="8"/>
      <c r="L96" s="8"/>
      <c r="M96" s="8"/>
      <c r="N96" s="8"/>
      <c r="O96" s="8"/>
      <c r="P96" s="8"/>
      <c r="Q96" s="8"/>
      <c r="R96" s="8"/>
      <c r="S96" s="8"/>
      <c r="T96" s="8"/>
      <c r="U96" s="30"/>
    </row>
    <row r="97" ht="15.75" customHeight="1">
      <c r="A97" s="11" t="str">
        <f t="shared" si="3"/>
        <v/>
      </c>
      <c r="B97" s="11"/>
      <c r="C97" s="11"/>
      <c r="D97" s="11"/>
      <c r="E97" s="11"/>
      <c r="F97" s="11"/>
      <c r="G97" s="11"/>
      <c r="H97" s="11"/>
      <c r="I97" s="11"/>
      <c r="J97" s="11"/>
      <c r="K97" s="11"/>
      <c r="L97" s="11"/>
      <c r="M97" s="11"/>
      <c r="N97" s="11"/>
      <c r="O97" s="11"/>
      <c r="P97" s="11"/>
      <c r="Q97" s="11"/>
      <c r="R97" s="11"/>
      <c r="S97" s="11"/>
      <c r="T97" s="11"/>
      <c r="U97" s="30"/>
    </row>
    <row r="98" ht="15.75" customHeight="1">
      <c r="A98" s="8" t="str">
        <f t="shared" si="3"/>
        <v/>
      </c>
      <c r="B98" s="8"/>
      <c r="C98" s="8"/>
      <c r="D98" s="8"/>
      <c r="E98" s="8"/>
      <c r="F98" s="8"/>
      <c r="G98" s="8"/>
      <c r="H98" s="8"/>
      <c r="I98" s="8"/>
      <c r="J98" s="8"/>
      <c r="K98" s="8"/>
      <c r="L98" s="8"/>
      <c r="M98" s="8"/>
      <c r="N98" s="8"/>
      <c r="O98" s="8"/>
      <c r="P98" s="8"/>
      <c r="Q98" s="8"/>
      <c r="R98" s="8"/>
      <c r="S98" s="8"/>
      <c r="T98" s="8"/>
      <c r="U98" s="30"/>
    </row>
    <row r="99" ht="15.75" customHeight="1">
      <c r="A99" s="11" t="str">
        <f t="shared" si="3"/>
        <v/>
      </c>
      <c r="B99" s="11"/>
      <c r="C99" s="11"/>
      <c r="D99" s="11"/>
      <c r="E99" s="11"/>
      <c r="F99" s="11"/>
      <c r="G99" s="11"/>
      <c r="H99" s="11"/>
      <c r="I99" s="11"/>
      <c r="J99" s="11"/>
      <c r="K99" s="11"/>
      <c r="L99" s="11"/>
      <c r="M99" s="11"/>
      <c r="N99" s="11"/>
      <c r="O99" s="11"/>
      <c r="P99" s="11"/>
      <c r="Q99" s="11"/>
      <c r="R99" s="11"/>
      <c r="S99" s="11"/>
      <c r="T99" s="11"/>
      <c r="U99" s="30"/>
    </row>
    <row r="100" ht="15.75" customHeight="1">
      <c r="A100" s="8" t="str">
        <f t="shared" si="3"/>
        <v/>
      </c>
      <c r="B100" s="8"/>
      <c r="C100" s="8"/>
      <c r="D100" s="8"/>
      <c r="E100" s="8"/>
      <c r="F100" s="8"/>
      <c r="G100" s="8"/>
      <c r="H100" s="8"/>
      <c r="I100" s="8"/>
      <c r="J100" s="8"/>
      <c r="K100" s="8"/>
      <c r="L100" s="8"/>
      <c r="M100" s="8"/>
      <c r="N100" s="8"/>
      <c r="O100" s="8"/>
      <c r="P100" s="8"/>
      <c r="Q100" s="8"/>
      <c r="R100" s="8"/>
      <c r="S100" s="8"/>
      <c r="T100" s="8"/>
      <c r="U100" s="30"/>
    </row>
    <row r="101" ht="15.75" customHeight="1">
      <c r="A101" s="11" t="str">
        <f t="shared" si="3"/>
        <v/>
      </c>
      <c r="B101" s="11"/>
      <c r="C101" s="11"/>
      <c r="D101" s="11"/>
      <c r="E101" s="11"/>
      <c r="F101" s="11"/>
      <c r="G101" s="11"/>
      <c r="H101" s="11"/>
      <c r="I101" s="11"/>
      <c r="J101" s="11"/>
      <c r="K101" s="11"/>
      <c r="L101" s="11"/>
      <c r="M101" s="11"/>
      <c r="N101" s="11"/>
      <c r="O101" s="11"/>
      <c r="P101" s="11"/>
      <c r="Q101" s="11"/>
      <c r="R101" s="11"/>
      <c r="S101" s="11"/>
      <c r="T101" s="11"/>
      <c r="U101" s="30"/>
    </row>
    <row r="102" ht="15.75" customHeight="1">
      <c r="A102" s="8" t="str">
        <f t="shared" si="3"/>
        <v/>
      </c>
      <c r="B102" s="8"/>
      <c r="C102" s="8"/>
      <c r="D102" s="8"/>
      <c r="E102" s="8"/>
      <c r="F102" s="8"/>
      <c r="G102" s="8"/>
      <c r="H102" s="8"/>
      <c r="I102" s="8"/>
      <c r="J102" s="8"/>
      <c r="K102" s="8"/>
      <c r="L102" s="8"/>
      <c r="M102" s="8"/>
      <c r="N102" s="8"/>
      <c r="O102" s="8"/>
      <c r="P102" s="8"/>
      <c r="Q102" s="8"/>
      <c r="R102" s="8"/>
      <c r="S102" s="8"/>
      <c r="T102" s="8"/>
      <c r="U102" s="30"/>
    </row>
    <row r="103" ht="15.75" customHeight="1">
      <c r="A103" s="11" t="str">
        <f t="shared" si="3"/>
        <v/>
      </c>
      <c r="B103" s="11"/>
      <c r="C103" s="11"/>
      <c r="D103" s="11"/>
      <c r="E103" s="11"/>
      <c r="F103" s="11"/>
      <c r="G103" s="11"/>
      <c r="H103" s="11"/>
      <c r="I103" s="11"/>
      <c r="J103" s="11"/>
      <c r="K103" s="11"/>
      <c r="L103" s="11"/>
      <c r="M103" s="11"/>
      <c r="N103" s="11"/>
      <c r="O103" s="11"/>
      <c r="P103" s="11"/>
      <c r="Q103" s="11"/>
      <c r="R103" s="11"/>
      <c r="S103" s="11"/>
      <c r="T103" s="11"/>
      <c r="U103" s="30"/>
    </row>
    <row r="104" ht="15.75" customHeight="1">
      <c r="A104" s="8" t="str">
        <f t="shared" si="3"/>
        <v/>
      </c>
      <c r="B104" s="8"/>
      <c r="C104" s="8"/>
      <c r="D104" s="8"/>
      <c r="E104" s="8"/>
      <c r="F104" s="8"/>
      <c r="G104" s="8"/>
      <c r="H104" s="8"/>
      <c r="I104" s="8"/>
      <c r="J104" s="8"/>
      <c r="K104" s="8"/>
      <c r="L104" s="8"/>
      <c r="M104" s="8"/>
      <c r="N104" s="8"/>
      <c r="O104" s="8"/>
      <c r="P104" s="8"/>
      <c r="Q104" s="8"/>
      <c r="R104" s="8"/>
      <c r="S104" s="8"/>
      <c r="T104" s="8"/>
      <c r="U104" s="30"/>
    </row>
    <row r="105" ht="15.75" customHeight="1">
      <c r="A105" s="11" t="str">
        <f t="shared" si="3"/>
        <v/>
      </c>
      <c r="B105" s="11"/>
      <c r="C105" s="11"/>
      <c r="D105" s="11"/>
      <c r="E105" s="11"/>
      <c r="F105" s="11"/>
      <c r="G105" s="11"/>
      <c r="H105" s="11"/>
      <c r="I105" s="11"/>
      <c r="J105" s="11"/>
      <c r="K105" s="11"/>
      <c r="L105" s="11"/>
      <c r="M105" s="11"/>
      <c r="N105" s="11"/>
      <c r="O105" s="11"/>
      <c r="P105" s="11"/>
      <c r="Q105" s="11"/>
      <c r="R105" s="11"/>
      <c r="S105" s="11"/>
      <c r="T105" s="11"/>
      <c r="U105" s="30"/>
    </row>
    <row r="106" ht="15.75" customHeight="1">
      <c r="A106" s="8" t="str">
        <f t="shared" si="3"/>
        <v/>
      </c>
      <c r="B106" s="8"/>
      <c r="C106" s="8"/>
      <c r="D106" s="8"/>
      <c r="E106" s="8"/>
      <c r="F106" s="8"/>
      <c r="G106" s="8"/>
      <c r="H106" s="8"/>
      <c r="I106" s="8"/>
      <c r="J106" s="8"/>
      <c r="K106" s="8"/>
      <c r="L106" s="8"/>
      <c r="M106" s="8"/>
      <c r="N106" s="8"/>
      <c r="O106" s="8"/>
      <c r="P106" s="8"/>
      <c r="Q106" s="8"/>
      <c r="R106" s="8"/>
      <c r="S106" s="8"/>
      <c r="T106" s="8"/>
      <c r="U106" s="30"/>
    </row>
    <row r="107" ht="15.75" customHeight="1">
      <c r="A107" s="11" t="str">
        <f t="shared" si="3"/>
        <v/>
      </c>
      <c r="B107" s="11"/>
      <c r="C107" s="11"/>
      <c r="D107" s="11"/>
      <c r="E107" s="11"/>
      <c r="F107" s="11"/>
      <c r="G107" s="11"/>
      <c r="H107" s="11"/>
      <c r="I107" s="11"/>
      <c r="J107" s="11"/>
      <c r="K107" s="11"/>
      <c r="L107" s="11"/>
      <c r="M107" s="11"/>
      <c r="N107" s="11"/>
      <c r="O107" s="11"/>
      <c r="P107" s="11"/>
      <c r="Q107" s="11"/>
      <c r="R107" s="11"/>
      <c r="S107" s="11"/>
      <c r="T107" s="11"/>
      <c r="U107" s="30"/>
    </row>
    <row r="108" ht="15.75" customHeight="1">
      <c r="A108" s="8" t="str">
        <f t="shared" si="3"/>
        <v/>
      </c>
      <c r="B108" s="8"/>
      <c r="C108" s="8"/>
      <c r="D108" s="8"/>
      <c r="E108" s="8"/>
      <c r="F108" s="8"/>
      <c r="G108" s="8"/>
      <c r="H108" s="8"/>
      <c r="I108" s="8"/>
      <c r="J108" s="8"/>
      <c r="K108" s="8"/>
      <c r="L108" s="8"/>
      <c r="M108" s="8"/>
      <c r="N108" s="8"/>
      <c r="O108" s="8"/>
      <c r="P108" s="8"/>
      <c r="Q108" s="8"/>
      <c r="R108" s="8"/>
      <c r="S108" s="8"/>
      <c r="T108" s="8"/>
      <c r="U108" s="30"/>
    </row>
    <row r="109" ht="15.75" customHeight="1">
      <c r="A109" s="11" t="str">
        <f t="shared" si="3"/>
        <v/>
      </c>
      <c r="B109" s="11"/>
      <c r="C109" s="11"/>
      <c r="D109" s="11"/>
      <c r="E109" s="11"/>
      <c r="F109" s="11"/>
      <c r="G109" s="11"/>
      <c r="H109" s="11"/>
      <c r="I109" s="11"/>
      <c r="J109" s="11"/>
      <c r="K109" s="11"/>
      <c r="L109" s="11"/>
      <c r="M109" s="11"/>
      <c r="N109" s="11"/>
      <c r="O109" s="11"/>
      <c r="P109" s="11"/>
      <c r="Q109" s="11"/>
      <c r="R109" s="11"/>
      <c r="S109" s="11"/>
      <c r="T109" s="11"/>
      <c r="U109" s="30"/>
    </row>
    <row r="110" ht="15.75" customHeight="1">
      <c r="A110" s="8" t="str">
        <f t="shared" si="3"/>
        <v/>
      </c>
      <c r="B110" s="8"/>
      <c r="C110" s="8"/>
      <c r="D110" s="8"/>
      <c r="E110" s="8"/>
      <c r="F110" s="8"/>
      <c r="G110" s="8"/>
      <c r="H110" s="8"/>
      <c r="I110" s="8"/>
      <c r="J110" s="8"/>
      <c r="K110" s="8"/>
      <c r="L110" s="8"/>
      <c r="M110" s="8"/>
      <c r="N110" s="8"/>
      <c r="O110" s="8"/>
      <c r="P110" s="8"/>
      <c r="Q110" s="8"/>
      <c r="R110" s="8"/>
      <c r="S110" s="8"/>
      <c r="T110" s="8"/>
      <c r="U110" s="30"/>
    </row>
    <row r="111" ht="15.75" customHeight="1">
      <c r="A111" s="11" t="str">
        <f t="shared" si="3"/>
        <v/>
      </c>
      <c r="B111" s="11"/>
      <c r="C111" s="11"/>
      <c r="D111" s="11"/>
      <c r="E111" s="11"/>
      <c r="F111" s="11"/>
      <c r="G111" s="11"/>
      <c r="H111" s="11"/>
      <c r="I111" s="11"/>
      <c r="J111" s="11"/>
      <c r="K111" s="11"/>
      <c r="L111" s="11"/>
      <c r="M111" s="11"/>
      <c r="N111" s="11"/>
      <c r="O111" s="11"/>
      <c r="P111" s="11"/>
      <c r="Q111" s="11"/>
      <c r="R111" s="11"/>
      <c r="S111" s="11"/>
      <c r="T111" s="11"/>
      <c r="U111" s="30"/>
    </row>
    <row r="112" ht="15.75" customHeight="1">
      <c r="A112" s="8" t="str">
        <f t="shared" si="3"/>
        <v/>
      </c>
      <c r="B112" s="8"/>
      <c r="C112" s="8"/>
      <c r="D112" s="8"/>
      <c r="E112" s="8"/>
      <c r="F112" s="8"/>
      <c r="G112" s="8"/>
      <c r="H112" s="8"/>
      <c r="I112" s="8"/>
      <c r="J112" s="8"/>
      <c r="K112" s="8"/>
      <c r="L112" s="8"/>
      <c r="M112" s="8"/>
      <c r="N112" s="8"/>
      <c r="O112" s="8"/>
      <c r="P112" s="8"/>
      <c r="Q112" s="8"/>
      <c r="R112" s="8"/>
      <c r="S112" s="8"/>
      <c r="T112" s="8"/>
      <c r="U112" s="30"/>
    </row>
    <row r="113" ht="15.75" customHeight="1">
      <c r="A113" s="11" t="str">
        <f t="shared" si="3"/>
        <v/>
      </c>
      <c r="B113" s="11"/>
      <c r="C113" s="11"/>
      <c r="D113" s="11"/>
      <c r="E113" s="11"/>
      <c r="F113" s="11"/>
      <c r="G113" s="11"/>
      <c r="H113" s="11"/>
      <c r="I113" s="11"/>
      <c r="J113" s="11"/>
      <c r="K113" s="11"/>
      <c r="L113" s="11"/>
      <c r="M113" s="11"/>
      <c r="N113" s="11"/>
      <c r="O113" s="11"/>
      <c r="P113" s="11"/>
      <c r="Q113" s="11"/>
      <c r="R113" s="11"/>
      <c r="S113" s="11"/>
      <c r="T113" s="11"/>
      <c r="U113" s="30"/>
    </row>
    <row r="114" ht="15.75" customHeight="1">
      <c r="A114" s="8" t="str">
        <f t="shared" si="3"/>
        <v/>
      </c>
      <c r="B114" s="8"/>
      <c r="C114" s="8"/>
      <c r="D114" s="8"/>
      <c r="E114" s="8"/>
      <c r="F114" s="8"/>
      <c r="G114" s="8"/>
      <c r="H114" s="8"/>
      <c r="I114" s="8"/>
      <c r="J114" s="8"/>
      <c r="K114" s="8"/>
      <c r="L114" s="8"/>
      <c r="M114" s="8"/>
      <c r="N114" s="8"/>
      <c r="O114" s="8"/>
      <c r="P114" s="8"/>
      <c r="Q114" s="8"/>
      <c r="R114" s="8"/>
      <c r="S114" s="8"/>
      <c r="T114" s="8"/>
      <c r="U114" s="30"/>
    </row>
    <row r="115" ht="15.75" customHeight="1">
      <c r="A115" s="11" t="str">
        <f t="shared" si="3"/>
        <v/>
      </c>
      <c r="B115" s="11"/>
      <c r="C115" s="11"/>
      <c r="D115" s="11"/>
      <c r="E115" s="11"/>
      <c r="F115" s="11"/>
      <c r="G115" s="11"/>
      <c r="H115" s="11"/>
      <c r="I115" s="11"/>
      <c r="J115" s="11"/>
      <c r="K115" s="11"/>
      <c r="L115" s="11"/>
      <c r="M115" s="11"/>
      <c r="N115" s="11"/>
      <c r="O115" s="11"/>
      <c r="P115" s="11"/>
      <c r="Q115" s="11"/>
      <c r="R115" s="11"/>
      <c r="S115" s="11"/>
      <c r="T115" s="11"/>
      <c r="U115" s="30"/>
    </row>
    <row r="116" ht="15.75" customHeight="1">
      <c r="A116" s="8" t="str">
        <f t="shared" si="3"/>
        <v/>
      </c>
      <c r="B116" s="8"/>
      <c r="C116" s="8"/>
      <c r="D116" s="8"/>
      <c r="E116" s="8"/>
      <c r="F116" s="8"/>
      <c r="G116" s="8"/>
      <c r="H116" s="8"/>
      <c r="I116" s="8"/>
      <c r="J116" s="8"/>
      <c r="K116" s="8"/>
      <c r="L116" s="8"/>
      <c r="M116" s="8"/>
      <c r="N116" s="8"/>
      <c r="O116" s="8"/>
      <c r="P116" s="8"/>
      <c r="Q116" s="8"/>
      <c r="R116" s="8"/>
      <c r="S116" s="8"/>
      <c r="T116" s="8"/>
      <c r="U116" s="30"/>
    </row>
    <row r="117" ht="15.75" customHeight="1">
      <c r="A117" s="11" t="str">
        <f t="shared" si="3"/>
        <v/>
      </c>
      <c r="B117" s="11"/>
      <c r="C117" s="11"/>
      <c r="D117" s="11"/>
      <c r="E117" s="11"/>
      <c r="F117" s="11"/>
      <c r="G117" s="11"/>
      <c r="H117" s="11"/>
      <c r="I117" s="11"/>
      <c r="J117" s="11"/>
      <c r="K117" s="11"/>
      <c r="L117" s="11"/>
      <c r="M117" s="11"/>
      <c r="N117" s="11"/>
      <c r="O117" s="11"/>
      <c r="P117" s="11"/>
      <c r="Q117" s="11"/>
      <c r="R117" s="11"/>
      <c r="S117" s="11"/>
      <c r="T117" s="11"/>
      <c r="U117" s="30"/>
    </row>
    <row r="118" ht="15.75" customHeight="1">
      <c r="A118" s="8" t="str">
        <f t="shared" si="3"/>
        <v/>
      </c>
      <c r="B118" s="8"/>
      <c r="C118" s="8"/>
      <c r="D118" s="8"/>
      <c r="E118" s="8"/>
      <c r="F118" s="8"/>
      <c r="G118" s="8"/>
      <c r="H118" s="8"/>
      <c r="I118" s="8"/>
      <c r="J118" s="8"/>
      <c r="K118" s="8"/>
      <c r="L118" s="8"/>
      <c r="M118" s="8"/>
      <c r="N118" s="8"/>
      <c r="O118" s="8"/>
      <c r="P118" s="8"/>
      <c r="Q118" s="8"/>
      <c r="R118" s="8"/>
      <c r="S118" s="8"/>
      <c r="T118" s="8"/>
      <c r="U118" s="30"/>
    </row>
    <row r="119" ht="15.75" customHeight="1">
      <c r="A119" s="11" t="str">
        <f t="shared" si="3"/>
        <v/>
      </c>
      <c r="B119" s="11"/>
      <c r="C119" s="11"/>
      <c r="D119" s="11"/>
      <c r="E119" s="11"/>
      <c r="F119" s="11"/>
      <c r="G119" s="11"/>
      <c r="H119" s="11"/>
      <c r="I119" s="11"/>
      <c r="J119" s="11"/>
      <c r="K119" s="11"/>
      <c r="L119" s="11"/>
      <c r="M119" s="11"/>
      <c r="N119" s="11"/>
      <c r="O119" s="11"/>
      <c r="P119" s="11"/>
      <c r="Q119" s="11"/>
      <c r="R119" s="11"/>
      <c r="S119" s="11"/>
      <c r="T119" s="11"/>
      <c r="U119" s="30"/>
    </row>
    <row r="120" ht="15.75" customHeight="1">
      <c r="A120" s="8" t="str">
        <f t="shared" si="3"/>
        <v/>
      </c>
      <c r="B120" s="8"/>
      <c r="C120" s="8"/>
      <c r="D120" s="8"/>
      <c r="E120" s="8"/>
      <c r="F120" s="8"/>
      <c r="G120" s="8"/>
      <c r="H120" s="8"/>
      <c r="I120" s="8"/>
      <c r="J120" s="8"/>
      <c r="K120" s="8"/>
      <c r="L120" s="8"/>
      <c r="M120" s="8"/>
      <c r="N120" s="8"/>
      <c r="O120" s="8"/>
      <c r="P120" s="8"/>
      <c r="Q120" s="8"/>
      <c r="R120" s="8"/>
      <c r="S120" s="8"/>
      <c r="T120" s="8"/>
      <c r="U120" s="30"/>
    </row>
    <row r="121" ht="15.75" customHeight="1">
      <c r="A121" s="11" t="str">
        <f t="shared" si="3"/>
        <v/>
      </c>
      <c r="B121" s="11"/>
      <c r="C121" s="11"/>
      <c r="D121" s="11"/>
      <c r="E121" s="11"/>
      <c r="F121" s="11"/>
      <c r="G121" s="11"/>
      <c r="H121" s="11"/>
      <c r="I121" s="11"/>
      <c r="J121" s="11"/>
      <c r="K121" s="11"/>
      <c r="L121" s="11"/>
      <c r="M121" s="11"/>
      <c r="N121" s="11"/>
      <c r="O121" s="11"/>
      <c r="P121" s="11"/>
      <c r="Q121" s="11"/>
      <c r="R121" s="11"/>
      <c r="S121" s="11"/>
      <c r="T121" s="11"/>
      <c r="U121" s="30"/>
    </row>
    <row r="122" ht="15.75" customHeight="1">
      <c r="A122" s="8" t="str">
        <f t="shared" si="3"/>
        <v/>
      </c>
      <c r="B122" s="8"/>
      <c r="C122" s="8"/>
      <c r="D122" s="8"/>
      <c r="E122" s="8"/>
      <c r="F122" s="8"/>
      <c r="G122" s="8"/>
      <c r="H122" s="8"/>
      <c r="I122" s="8"/>
      <c r="J122" s="8"/>
      <c r="K122" s="8"/>
      <c r="L122" s="8"/>
      <c r="M122" s="8"/>
      <c r="N122" s="8"/>
      <c r="O122" s="8"/>
      <c r="P122" s="8"/>
      <c r="Q122" s="8"/>
      <c r="R122" s="8"/>
      <c r="S122" s="8"/>
      <c r="T122" s="8"/>
    </row>
    <row r="123" ht="15.75" customHeight="1">
      <c r="A123" s="11" t="str">
        <f t="shared" si="3"/>
        <v/>
      </c>
      <c r="B123" s="11"/>
      <c r="C123" s="11"/>
      <c r="D123" s="11"/>
      <c r="E123" s="11"/>
      <c r="F123" s="11"/>
      <c r="G123" s="11"/>
      <c r="H123" s="11"/>
      <c r="I123" s="11"/>
      <c r="J123" s="11"/>
      <c r="K123" s="11"/>
      <c r="L123" s="11"/>
      <c r="M123" s="11"/>
      <c r="N123" s="11"/>
      <c r="O123" s="11"/>
      <c r="P123" s="11"/>
      <c r="Q123" s="11"/>
      <c r="R123" s="11"/>
      <c r="S123" s="11"/>
      <c r="T123" s="11"/>
    </row>
    <row r="124" ht="15.75" customHeight="1">
      <c r="A124" s="8" t="str">
        <f t="shared" si="3"/>
        <v/>
      </c>
      <c r="B124" s="8"/>
      <c r="C124" s="8"/>
      <c r="D124" s="8"/>
      <c r="E124" s="8"/>
      <c r="F124" s="8"/>
      <c r="G124" s="8"/>
      <c r="H124" s="8"/>
      <c r="I124" s="8"/>
      <c r="J124" s="8"/>
      <c r="K124" s="8"/>
      <c r="L124" s="8"/>
      <c r="M124" s="8"/>
      <c r="N124" s="8"/>
      <c r="O124" s="8"/>
      <c r="P124" s="8"/>
      <c r="Q124" s="8"/>
      <c r="R124" s="8"/>
      <c r="S124" s="8"/>
      <c r="T124" s="8"/>
    </row>
    <row r="125" ht="15.75" customHeight="1">
      <c r="A125" s="11" t="str">
        <f t="shared" si="3"/>
        <v/>
      </c>
      <c r="B125" s="11"/>
      <c r="C125" s="11"/>
      <c r="D125" s="11"/>
      <c r="E125" s="11"/>
      <c r="F125" s="11"/>
      <c r="G125" s="11"/>
      <c r="H125" s="11"/>
      <c r="I125" s="11"/>
      <c r="J125" s="11"/>
      <c r="K125" s="11"/>
      <c r="L125" s="11"/>
      <c r="M125" s="11"/>
      <c r="N125" s="11"/>
      <c r="O125" s="11"/>
      <c r="P125" s="11"/>
      <c r="Q125" s="11"/>
      <c r="R125" s="11"/>
      <c r="S125" s="11"/>
      <c r="T125" s="11"/>
    </row>
    <row r="126" ht="15.75" customHeight="1">
      <c r="A126" s="8" t="str">
        <f t="shared" si="3"/>
        <v/>
      </c>
      <c r="B126" s="8"/>
      <c r="C126" s="8"/>
      <c r="D126" s="8"/>
      <c r="E126" s="8"/>
      <c r="F126" s="8"/>
      <c r="G126" s="8"/>
      <c r="H126" s="8"/>
      <c r="I126" s="8"/>
      <c r="J126" s="8"/>
      <c r="K126" s="8"/>
      <c r="L126" s="8"/>
      <c r="M126" s="8"/>
      <c r="N126" s="8"/>
      <c r="O126" s="8"/>
      <c r="P126" s="8"/>
      <c r="Q126" s="8"/>
      <c r="R126" s="8"/>
      <c r="S126" s="8"/>
      <c r="T126" s="8"/>
    </row>
    <row r="127" ht="15.75" customHeight="1">
      <c r="A127" s="11" t="str">
        <f t="shared" si="3"/>
        <v/>
      </c>
      <c r="B127" s="11"/>
      <c r="C127" s="11"/>
      <c r="D127" s="11"/>
      <c r="E127" s="11"/>
      <c r="F127" s="11"/>
      <c r="G127" s="11"/>
      <c r="H127" s="11"/>
      <c r="I127" s="11"/>
      <c r="J127" s="11"/>
      <c r="K127" s="11"/>
      <c r="L127" s="11"/>
      <c r="M127" s="11"/>
      <c r="N127" s="11"/>
      <c r="O127" s="11"/>
      <c r="P127" s="11"/>
      <c r="Q127" s="11"/>
      <c r="R127" s="11"/>
      <c r="S127" s="11"/>
      <c r="T127" s="11"/>
    </row>
    <row r="128" ht="15.75" customHeight="1">
      <c r="A128" s="8" t="str">
        <f t="shared" si="3"/>
        <v/>
      </c>
      <c r="B128" s="8"/>
      <c r="C128" s="8"/>
      <c r="D128" s="8"/>
      <c r="E128" s="8"/>
      <c r="F128" s="8"/>
      <c r="G128" s="8"/>
      <c r="H128" s="8"/>
      <c r="I128" s="8"/>
      <c r="J128" s="8"/>
      <c r="K128" s="8"/>
      <c r="L128" s="8"/>
      <c r="M128" s="8"/>
      <c r="N128" s="8"/>
      <c r="O128" s="8"/>
      <c r="P128" s="8"/>
      <c r="Q128" s="8"/>
      <c r="R128" s="8"/>
      <c r="S128" s="8"/>
      <c r="T128" s="8"/>
    </row>
    <row r="129" ht="15.75" customHeight="1">
      <c r="A129" s="11" t="str">
        <f t="shared" si="3"/>
        <v/>
      </c>
      <c r="B129" s="11"/>
      <c r="C129" s="11"/>
      <c r="D129" s="11"/>
      <c r="E129" s="11"/>
      <c r="F129" s="11"/>
      <c r="G129" s="11"/>
      <c r="H129" s="11"/>
      <c r="I129" s="11"/>
      <c r="J129" s="11"/>
      <c r="K129" s="11"/>
      <c r="L129" s="11"/>
      <c r="M129" s="11"/>
      <c r="N129" s="11"/>
      <c r="O129" s="11"/>
      <c r="P129" s="11"/>
      <c r="Q129" s="11"/>
      <c r="R129" s="11"/>
      <c r="S129" s="11"/>
      <c r="T129" s="11"/>
    </row>
    <row r="130" ht="15.75" customHeight="1">
      <c r="A130" s="8" t="str">
        <f t="shared" si="3"/>
        <v/>
      </c>
      <c r="B130" s="8"/>
      <c r="C130" s="8"/>
      <c r="D130" s="8"/>
      <c r="E130" s="8"/>
      <c r="F130" s="8"/>
      <c r="G130" s="8"/>
      <c r="H130" s="8"/>
      <c r="I130" s="8"/>
      <c r="J130" s="8"/>
      <c r="K130" s="8"/>
      <c r="L130" s="8"/>
      <c r="M130" s="8"/>
      <c r="N130" s="8"/>
      <c r="O130" s="8"/>
      <c r="P130" s="8"/>
      <c r="Q130" s="8"/>
      <c r="R130" s="8"/>
      <c r="S130" s="8"/>
      <c r="T130" s="8"/>
    </row>
    <row r="131" ht="15.75" customHeight="1">
      <c r="A131" s="11" t="str">
        <f t="shared" si="3"/>
        <v/>
      </c>
      <c r="B131" s="11"/>
      <c r="C131" s="11"/>
      <c r="D131" s="11"/>
      <c r="E131" s="11"/>
      <c r="F131" s="11"/>
      <c r="G131" s="11"/>
      <c r="H131" s="11"/>
      <c r="I131" s="11"/>
      <c r="J131" s="11"/>
      <c r="K131" s="11"/>
      <c r="L131" s="11"/>
      <c r="M131" s="11"/>
      <c r="N131" s="11"/>
      <c r="O131" s="11"/>
      <c r="P131" s="11"/>
      <c r="Q131" s="11"/>
      <c r="R131" s="11"/>
      <c r="S131" s="11"/>
      <c r="T131" s="11"/>
    </row>
    <row r="132" ht="15.75" customHeight="1">
      <c r="A132" s="8" t="str">
        <f t="shared" si="3"/>
        <v/>
      </c>
      <c r="B132" s="8"/>
      <c r="C132" s="8"/>
      <c r="D132" s="8"/>
      <c r="E132" s="8"/>
      <c r="F132" s="8"/>
      <c r="G132" s="8"/>
      <c r="H132" s="8"/>
      <c r="I132" s="8"/>
      <c r="J132" s="8"/>
      <c r="K132" s="8"/>
      <c r="L132" s="8"/>
      <c r="M132" s="8"/>
      <c r="N132" s="8"/>
      <c r="O132" s="8"/>
      <c r="P132" s="8"/>
      <c r="Q132" s="8"/>
      <c r="R132" s="8"/>
      <c r="S132" s="8"/>
      <c r="T132" s="8"/>
    </row>
    <row r="133" ht="15.75" customHeight="1">
      <c r="A133" s="11" t="str">
        <f t="shared" si="3"/>
        <v/>
      </c>
      <c r="B133" s="11"/>
      <c r="C133" s="11"/>
      <c r="D133" s="11"/>
      <c r="E133" s="11"/>
      <c r="F133" s="11"/>
      <c r="G133" s="11"/>
      <c r="H133" s="11"/>
      <c r="I133" s="11"/>
      <c r="J133" s="11"/>
      <c r="K133" s="11"/>
      <c r="L133" s="11"/>
      <c r="M133" s="11"/>
      <c r="N133" s="11"/>
      <c r="O133" s="11"/>
      <c r="P133" s="11"/>
      <c r="Q133" s="11"/>
      <c r="R133" s="11"/>
      <c r="S133" s="11"/>
      <c r="T133" s="11"/>
    </row>
    <row r="134" ht="15.75" customHeight="1">
      <c r="A134" s="8" t="str">
        <f t="shared" si="3"/>
        <v/>
      </c>
      <c r="B134" s="8"/>
      <c r="C134" s="8"/>
      <c r="D134" s="8"/>
      <c r="E134" s="8"/>
      <c r="F134" s="8"/>
      <c r="G134" s="8"/>
      <c r="H134" s="8"/>
      <c r="I134" s="8"/>
      <c r="J134" s="8"/>
      <c r="K134" s="8"/>
      <c r="L134" s="8"/>
      <c r="M134" s="8"/>
      <c r="N134" s="8"/>
      <c r="O134" s="8"/>
      <c r="P134" s="8"/>
      <c r="Q134" s="8"/>
      <c r="R134" s="8"/>
      <c r="S134" s="8"/>
      <c r="T134" s="8"/>
    </row>
    <row r="135" ht="15.75" customHeight="1">
      <c r="A135" s="11" t="str">
        <f t="shared" si="3"/>
        <v/>
      </c>
      <c r="B135" s="11"/>
      <c r="C135" s="11"/>
      <c r="D135" s="11"/>
      <c r="E135" s="11"/>
      <c r="F135" s="11"/>
      <c r="G135" s="11"/>
      <c r="H135" s="11"/>
      <c r="I135" s="11"/>
      <c r="J135" s="11"/>
      <c r="K135" s="11"/>
      <c r="L135" s="11"/>
      <c r="M135" s="11"/>
      <c r="N135" s="11"/>
      <c r="O135" s="11"/>
      <c r="P135" s="11"/>
      <c r="Q135" s="11"/>
      <c r="R135" s="11"/>
      <c r="S135" s="11"/>
      <c r="T135" s="11"/>
    </row>
    <row r="136" ht="15.75" customHeight="1">
      <c r="A136" s="8" t="str">
        <f t="shared" si="3"/>
        <v/>
      </c>
      <c r="B136" s="8"/>
      <c r="C136" s="8"/>
      <c r="D136" s="8"/>
      <c r="E136" s="8"/>
      <c r="F136" s="8"/>
      <c r="G136" s="8"/>
      <c r="H136" s="8"/>
      <c r="I136" s="8"/>
      <c r="J136" s="8"/>
      <c r="K136" s="8"/>
      <c r="L136" s="8"/>
      <c r="M136" s="8"/>
      <c r="N136" s="8"/>
      <c r="O136" s="8"/>
      <c r="P136" s="8"/>
      <c r="Q136" s="8"/>
      <c r="R136" s="8"/>
      <c r="S136" s="8"/>
      <c r="T136" s="8"/>
    </row>
    <row r="137" ht="15.75" customHeight="1">
      <c r="A137" s="11" t="str">
        <f t="shared" si="3"/>
        <v/>
      </c>
      <c r="B137" s="11"/>
      <c r="C137" s="11"/>
      <c r="D137" s="11"/>
      <c r="E137" s="11"/>
      <c r="F137" s="11"/>
      <c r="G137" s="11"/>
      <c r="H137" s="11"/>
      <c r="I137" s="11"/>
      <c r="J137" s="11"/>
      <c r="K137" s="11"/>
      <c r="L137" s="11"/>
      <c r="M137" s="11"/>
      <c r="N137" s="11"/>
      <c r="O137" s="11"/>
      <c r="P137" s="11"/>
      <c r="Q137" s="11"/>
      <c r="R137" s="11"/>
      <c r="S137" s="11"/>
      <c r="T137" s="11"/>
    </row>
    <row r="138" ht="15.75" customHeight="1">
      <c r="A138" s="8" t="str">
        <f t="shared" si="3"/>
        <v/>
      </c>
      <c r="B138" s="8"/>
      <c r="C138" s="8"/>
      <c r="D138" s="8"/>
      <c r="E138" s="8"/>
      <c r="F138" s="8"/>
      <c r="G138" s="8"/>
      <c r="H138" s="8"/>
      <c r="I138" s="8"/>
      <c r="J138" s="8"/>
      <c r="K138" s="8"/>
      <c r="L138" s="8"/>
      <c r="M138" s="8"/>
      <c r="N138" s="8"/>
      <c r="O138" s="8"/>
      <c r="P138" s="8"/>
      <c r="Q138" s="8"/>
      <c r="R138" s="8"/>
      <c r="S138" s="8"/>
      <c r="T138" s="8"/>
    </row>
    <row r="139" ht="15.75" customHeight="1">
      <c r="A139" s="11" t="str">
        <f t="shared" si="3"/>
        <v/>
      </c>
      <c r="B139" s="11"/>
      <c r="C139" s="11"/>
      <c r="D139" s="11"/>
      <c r="E139" s="11"/>
      <c r="F139" s="11"/>
      <c r="G139" s="11"/>
      <c r="H139" s="11"/>
      <c r="I139" s="11"/>
      <c r="J139" s="11"/>
      <c r="K139" s="11"/>
      <c r="L139" s="11"/>
      <c r="M139" s="11"/>
      <c r="N139" s="11"/>
      <c r="O139" s="11"/>
      <c r="P139" s="11"/>
      <c r="Q139" s="11"/>
      <c r="R139" s="11"/>
      <c r="S139" s="11"/>
      <c r="T139" s="11"/>
    </row>
    <row r="140" ht="15.75" customHeight="1">
      <c r="A140" s="8" t="str">
        <f t="shared" si="3"/>
        <v/>
      </c>
      <c r="B140" s="8"/>
      <c r="C140" s="8"/>
      <c r="D140" s="8"/>
      <c r="E140" s="8"/>
      <c r="F140" s="8"/>
      <c r="G140" s="8"/>
      <c r="H140" s="8"/>
      <c r="I140" s="8"/>
      <c r="J140" s="8"/>
      <c r="K140" s="8"/>
      <c r="L140" s="8"/>
      <c r="M140" s="8"/>
      <c r="N140" s="8"/>
      <c r="O140" s="8"/>
      <c r="P140" s="8"/>
      <c r="Q140" s="8"/>
      <c r="R140" s="8"/>
      <c r="S140" s="8"/>
      <c r="T140" s="8"/>
    </row>
    <row r="141" ht="15.75" customHeight="1">
      <c r="A141" s="11" t="str">
        <f t="shared" si="3"/>
        <v/>
      </c>
      <c r="B141" s="11"/>
      <c r="C141" s="11"/>
      <c r="D141" s="11"/>
      <c r="E141" s="11"/>
      <c r="F141" s="11"/>
      <c r="G141" s="11"/>
      <c r="H141" s="11"/>
      <c r="I141" s="11"/>
      <c r="J141" s="11"/>
      <c r="K141" s="11"/>
      <c r="L141" s="11"/>
      <c r="M141" s="11"/>
      <c r="N141" s="11"/>
      <c r="O141" s="11"/>
      <c r="P141" s="11"/>
      <c r="Q141" s="11"/>
      <c r="R141" s="11"/>
      <c r="S141" s="11"/>
      <c r="T141" s="11"/>
    </row>
    <row r="142" ht="15.75" customHeight="1">
      <c r="A142" s="8" t="str">
        <f t="shared" si="3"/>
        <v/>
      </c>
      <c r="B142" s="8"/>
      <c r="C142" s="8"/>
      <c r="D142" s="8"/>
      <c r="E142" s="8"/>
      <c r="F142" s="8"/>
      <c r="G142" s="8"/>
      <c r="H142" s="8"/>
      <c r="I142" s="8"/>
      <c r="J142" s="8"/>
      <c r="K142" s="8"/>
      <c r="L142" s="8"/>
      <c r="M142" s="8"/>
      <c r="N142" s="8"/>
      <c r="O142" s="8"/>
      <c r="P142" s="8"/>
      <c r="Q142" s="8"/>
      <c r="R142" s="8"/>
      <c r="S142" s="8"/>
      <c r="T142" s="8"/>
    </row>
    <row r="143" ht="15.75" customHeight="1">
      <c r="A143" s="11" t="str">
        <f t="shared" si="3"/>
        <v/>
      </c>
      <c r="B143" s="11"/>
      <c r="C143" s="11"/>
      <c r="D143" s="11"/>
      <c r="E143" s="11"/>
      <c r="F143" s="11"/>
      <c r="G143" s="11"/>
      <c r="H143" s="11"/>
      <c r="I143" s="11"/>
      <c r="J143" s="11"/>
      <c r="K143" s="11"/>
      <c r="L143" s="11"/>
      <c r="M143" s="11"/>
      <c r="N143" s="11"/>
      <c r="O143" s="11"/>
      <c r="P143" s="11"/>
      <c r="Q143" s="11"/>
      <c r="R143" s="11"/>
      <c r="S143" s="11"/>
      <c r="T143" s="11"/>
    </row>
    <row r="144" ht="15.75" customHeight="1">
      <c r="A144" s="8" t="str">
        <f t="shared" si="3"/>
        <v/>
      </c>
      <c r="B144" s="8"/>
      <c r="C144" s="8"/>
      <c r="D144" s="8"/>
      <c r="E144" s="8"/>
      <c r="F144" s="8"/>
      <c r="G144" s="8"/>
      <c r="H144" s="8"/>
      <c r="I144" s="8"/>
      <c r="J144" s="8"/>
      <c r="K144" s="8"/>
      <c r="L144" s="8"/>
      <c r="M144" s="8"/>
      <c r="N144" s="8"/>
      <c r="O144" s="8"/>
      <c r="P144" s="8"/>
      <c r="Q144" s="8"/>
      <c r="R144" s="8"/>
      <c r="S144" s="8"/>
      <c r="T144" s="8"/>
    </row>
    <row r="145" ht="15.75" customHeight="1">
      <c r="A145" s="11" t="str">
        <f t="shared" si="3"/>
        <v/>
      </c>
      <c r="B145" s="11"/>
      <c r="C145" s="11"/>
      <c r="D145" s="11"/>
      <c r="E145" s="11"/>
      <c r="F145" s="11"/>
      <c r="G145" s="11"/>
      <c r="H145" s="11"/>
      <c r="I145" s="11"/>
      <c r="J145" s="11"/>
      <c r="K145" s="11"/>
      <c r="L145" s="11"/>
      <c r="M145" s="11"/>
      <c r="N145" s="11"/>
      <c r="O145" s="11"/>
      <c r="P145" s="11"/>
      <c r="Q145" s="11"/>
      <c r="R145" s="11"/>
      <c r="S145" s="11"/>
      <c r="T145" s="11"/>
    </row>
    <row r="146" ht="15.75" customHeight="1">
      <c r="A146" s="8" t="str">
        <f t="shared" si="3"/>
        <v/>
      </c>
      <c r="B146" s="8"/>
      <c r="C146" s="8"/>
      <c r="D146" s="8"/>
      <c r="E146" s="8"/>
      <c r="F146" s="8"/>
      <c r="G146" s="8"/>
      <c r="H146" s="8"/>
      <c r="I146" s="8"/>
      <c r="J146" s="8"/>
      <c r="K146" s="8"/>
      <c r="L146" s="8"/>
      <c r="M146" s="8"/>
      <c r="N146" s="8"/>
      <c r="O146" s="8"/>
      <c r="P146" s="8"/>
      <c r="Q146" s="8"/>
      <c r="R146" s="8"/>
      <c r="S146" s="8"/>
      <c r="T146" s="8"/>
    </row>
    <row r="147" ht="15.75" customHeight="1">
      <c r="A147" s="11" t="str">
        <f t="shared" si="3"/>
        <v/>
      </c>
      <c r="B147" s="11"/>
      <c r="C147" s="11"/>
      <c r="D147" s="11"/>
      <c r="E147" s="11"/>
      <c r="F147" s="11"/>
      <c r="G147" s="11"/>
      <c r="H147" s="11"/>
      <c r="I147" s="11"/>
      <c r="J147" s="11"/>
      <c r="K147" s="11"/>
      <c r="L147" s="11"/>
      <c r="M147" s="11"/>
      <c r="N147" s="11"/>
      <c r="O147" s="11"/>
      <c r="P147" s="11"/>
      <c r="Q147" s="11"/>
      <c r="R147" s="11"/>
      <c r="S147" s="11"/>
      <c r="T147" s="11"/>
    </row>
    <row r="148" ht="15.75" customHeight="1">
      <c r="A148" s="8" t="str">
        <f t="shared" si="3"/>
        <v/>
      </c>
      <c r="B148" s="8"/>
      <c r="C148" s="8"/>
      <c r="D148" s="8"/>
      <c r="E148" s="8"/>
      <c r="F148" s="8"/>
      <c r="G148" s="8"/>
      <c r="H148" s="8"/>
      <c r="I148" s="8"/>
      <c r="J148" s="8"/>
      <c r="K148" s="8"/>
      <c r="L148" s="8"/>
      <c r="M148" s="8"/>
      <c r="N148" s="8"/>
      <c r="O148" s="8"/>
      <c r="P148" s="8"/>
      <c r="Q148" s="8"/>
      <c r="R148" s="8"/>
      <c r="S148" s="8"/>
      <c r="T148" s="8"/>
    </row>
    <row r="149" ht="15.75" customHeight="1">
      <c r="A149" s="11" t="str">
        <f t="shared" si="3"/>
        <v/>
      </c>
      <c r="B149" s="11"/>
      <c r="C149" s="11"/>
      <c r="D149" s="11"/>
      <c r="E149" s="11"/>
      <c r="F149" s="11"/>
      <c r="G149" s="11"/>
      <c r="H149" s="11"/>
      <c r="I149" s="11"/>
      <c r="J149" s="11"/>
      <c r="K149" s="11"/>
      <c r="L149" s="11"/>
      <c r="M149" s="11"/>
      <c r="N149" s="11"/>
      <c r="O149" s="11"/>
      <c r="P149" s="11"/>
      <c r="Q149" s="11"/>
      <c r="R149" s="11"/>
      <c r="S149" s="11"/>
      <c r="T149" s="11"/>
    </row>
    <row r="150" ht="15.75" customHeight="1">
      <c r="A150" s="8" t="str">
        <f t="shared" si="3"/>
        <v/>
      </c>
      <c r="B150" s="8"/>
      <c r="C150" s="8"/>
      <c r="D150" s="8"/>
      <c r="E150" s="8"/>
      <c r="F150" s="8"/>
      <c r="G150" s="8"/>
      <c r="H150" s="8"/>
      <c r="I150" s="8"/>
      <c r="J150" s="8"/>
      <c r="K150" s="8"/>
      <c r="L150" s="8"/>
      <c r="M150" s="8"/>
      <c r="N150" s="8"/>
      <c r="O150" s="8"/>
      <c r="P150" s="8"/>
      <c r="Q150" s="8"/>
      <c r="R150" s="8"/>
      <c r="S150" s="8"/>
      <c r="T150" s="8"/>
    </row>
    <row r="151" ht="15.75" customHeight="1">
      <c r="A151" s="11" t="str">
        <f t="shared" si="3"/>
        <v/>
      </c>
      <c r="B151" s="11"/>
      <c r="C151" s="11"/>
      <c r="D151" s="11"/>
      <c r="E151" s="11"/>
      <c r="F151" s="11"/>
      <c r="G151" s="11"/>
      <c r="H151" s="11"/>
      <c r="I151" s="11"/>
      <c r="J151" s="11"/>
      <c r="K151" s="11"/>
      <c r="L151" s="11"/>
      <c r="M151" s="11"/>
      <c r="N151" s="11"/>
      <c r="O151" s="11"/>
      <c r="P151" s="11"/>
      <c r="Q151" s="11"/>
      <c r="R151" s="11"/>
      <c r="S151" s="11"/>
      <c r="T151" s="11"/>
    </row>
    <row r="152" ht="15.75" customHeight="1">
      <c r="A152" s="8" t="str">
        <f t="shared" si="3"/>
        <v/>
      </c>
      <c r="B152" s="8"/>
      <c r="C152" s="8"/>
      <c r="D152" s="8"/>
      <c r="E152" s="8"/>
      <c r="F152" s="8"/>
      <c r="G152" s="8"/>
      <c r="H152" s="8"/>
      <c r="I152" s="8"/>
      <c r="J152" s="8"/>
      <c r="K152" s="8"/>
      <c r="L152" s="8"/>
      <c r="M152" s="8"/>
      <c r="N152" s="8"/>
      <c r="O152" s="8"/>
      <c r="P152" s="8"/>
      <c r="Q152" s="8"/>
      <c r="R152" s="8"/>
      <c r="S152" s="8"/>
      <c r="T152" s="8"/>
    </row>
    <row r="153" ht="15.75" customHeight="1">
      <c r="A153" s="11" t="str">
        <f t="shared" si="3"/>
        <v/>
      </c>
      <c r="B153" s="11"/>
      <c r="C153" s="11"/>
      <c r="D153" s="11"/>
      <c r="E153" s="11"/>
      <c r="F153" s="11"/>
      <c r="G153" s="11"/>
      <c r="H153" s="11"/>
      <c r="I153" s="11"/>
      <c r="J153" s="11"/>
      <c r="K153" s="11"/>
      <c r="L153" s="11"/>
      <c r="M153" s="11"/>
      <c r="N153" s="11"/>
      <c r="O153" s="11"/>
      <c r="P153" s="11"/>
      <c r="Q153" s="11"/>
      <c r="R153" s="11"/>
      <c r="S153" s="11"/>
      <c r="T153" s="11"/>
    </row>
    <row r="154" ht="15.75" customHeight="1">
      <c r="A154" s="8" t="str">
        <f t="shared" si="3"/>
        <v/>
      </c>
      <c r="B154" s="8"/>
      <c r="C154" s="8"/>
      <c r="D154" s="8"/>
      <c r="E154" s="8"/>
      <c r="F154" s="8"/>
      <c r="G154" s="8"/>
      <c r="H154" s="8"/>
      <c r="I154" s="8"/>
      <c r="J154" s="8"/>
      <c r="K154" s="8"/>
      <c r="L154" s="8"/>
      <c r="M154" s="8"/>
      <c r="N154" s="8"/>
      <c r="O154" s="8"/>
      <c r="P154" s="8"/>
      <c r="Q154" s="8"/>
      <c r="R154" s="8"/>
      <c r="S154" s="8"/>
      <c r="T154" s="8"/>
    </row>
    <row r="155" ht="15.75" customHeight="1">
      <c r="A155" s="11" t="str">
        <f t="shared" si="3"/>
        <v/>
      </c>
      <c r="B155" s="11"/>
      <c r="C155" s="11"/>
      <c r="D155" s="11"/>
      <c r="E155" s="11"/>
      <c r="F155" s="11"/>
      <c r="G155" s="11"/>
      <c r="H155" s="11"/>
      <c r="I155" s="11"/>
      <c r="J155" s="11"/>
      <c r="K155" s="11"/>
      <c r="L155" s="11"/>
      <c r="M155" s="11"/>
      <c r="N155" s="11"/>
      <c r="O155" s="11"/>
      <c r="P155" s="11"/>
      <c r="Q155" s="11"/>
      <c r="R155" s="11"/>
      <c r="S155" s="11"/>
      <c r="T155" s="11"/>
    </row>
    <row r="156" ht="15.75" customHeight="1">
      <c r="A156" s="8" t="str">
        <f t="shared" si="3"/>
        <v/>
      </c>
      <c r="B156" s="8"/>
      <c r="C156" s="8"/>
      <c r="D156" s="8"/>
      <c r="E156" s="8"/>
      <c r="F156" s="8"/>
      <c r="G156" s="8"/>
      <c r="H156" s="8"/>
      <c r="I156" s="8"/>
      <c r="J156" s="8"/>
      <c r="K156" s="8"/>
      <c r="L156" s="8"/>
      <c r="M156" s="8"/>
      <c r="N156" s="8"/>
      <c r="O156" s="8"/>
      <c r="P156" s="8"/>
      <c r="Q156" s="8"/>
      <c r="R156" s="8"/>
      <c r="S156" s="8"/>
      <c r="T156" s="8"/>
    </row>
    <row r="157" ht="15.75" customHeight="1">
      <c r="A157" s="11" t="str">
        <f t="shared" si="3"/>
        <v/>
      </c>
      <c r="B157" s="11"/>
      <c r="C157" s="11"/>
      <c r="D157" s="11"/>
      <c r="E157" s="11"/>
      <c r="F157" s="11"/>
      <c r="G157" s="11"/>
      <c r="H157" s="11"/>
      <c r="I157" s="11"/>
      <c r="J157" s="11"/>
      <c r="K157" s="11"/>
      <c r="L157" s="11"/>
      <c r="M157" s="11"/>
      <c r="N157" s="11"/>
      <c r="O157" s="11"/>
      <c r="P157" s="11"/>
      <c r="Q157" s="11"/>
      <c r="R157" s="11"/>
      <c r="S157" s="11"/>
      <c r="T157" s="11"/>
    </row>
    <row r="158" ht="15.75" customHeight="1">
      <c r="A158" s="8" t="str">
        <f t="shared" si="3"/>
        <v/>
      </c>
      <c r="B158" s="8"/>
      <c r="C158" s="8"/>
      <c r="D158" s="8"/>
      <c r="E158" s="8"/>
      <c r="F158" s="8"/>
      <c r="G158" s="8"/>
      <c r="H158" s="8"/>
      <c r="I158" s="8"/>
      <c r="J158" s="8"/>
      <c r="K158" s="8"/>
      <c r="L158" s="8"/>
      <c r="M158" s="8"/>
      <c r="N158" s="8"/>
      <c r="O158" s="8"/>
      <c r="P158" s="8"/>
      <c r="Q158" s="8"/>
      <c r="R158" s="8"/>
      <c r="S158" s="8"/>
      <c r="T158" s="8"/>
    </row>
    <row r="159" ht="15.75" customHeight="1">
      <c r="A159" s="11" t="str">
        <f t="shared" si="3"/>
        <v/>
      </c>
      <c r="B159" s="11"/>
      <c r="C159" s="11"/>
      <c r="D159" s="11"/>
      <c r="E159" s="11"/>
      <c r="F159" s="11"/>
      <c r="G159" s="11"/>
      <c r="H159" s="11"/>
      <c r="I159" s="11"/>
      <c r="J159" s="11"/>
      <c r="K159" s="11"/>
      <c r="L159" s="11"/>
      <c r="M159" s="11"/>
      <c r="N159" s="11"/>
      <c r="O159" s="11"/>
      <c r="P159" s="11"/>
      <c r="Q159" s="11"/>
      <c r="R159" s="11"/>
      <c r="S159" s="11"/>
      <c r="T159" s="11"/>
    </row>
    <row r="160" ht="15.75" customHeight="1">
      <c r="A160" s="8" t="str">
        <f t="shared" si="3"/>
        <v/>
      </c>
      <c r="B160" s="8"/>
      <c r="C160" s="8"/>
      <c r="D160" s="8"/>
      <c r="E160" s="8"/>
      <c r="F160" s="8"/>
      <c r="G160" s="8"/>
      <c r="H160" s="8"/>
      <c r="I160" s="8"/>
      <c r="J160" s="8"/>
      <c r="K160" s="8"/>
      <c r="L160" s="8"/>
      <c r="M160" s="8"/>
      <c r="N160" s="8"/>
      <c r="O160" s="8"/>
      <c r="P160" s="8"/>
      <c r="Q160" s="8"/>
      <c r="R160" s="8"/>
      <c r="S160" s="8"/>
      <c r="T160" s="8"/>
    </row>
    <row r="161" ht="15.75" customHeight="1">
      <c r="A161" s="11" t="str">
        <f t="shared" si="3"/>
        <v/>
      </c>
      <c r="B161" s="11"/>
      <c r="C161" s="11"/>
      <c r="D161" s="11"/>
      <c r="E161" s="11"/>
      <c r="F161" s="11"/>
      <c r="G161" s="11"/>
      <c r="H161" s="11"/>
      <c r="I161" s="11"/>
      <c r="J161" s="11"/>
      <c r="K161" s="11"/>
      <c r="L161" s="11"/>
      <c r="M161" s="11"/>
      <c r="N161" s="11"/>
      <c r="O161" s="11"/>
      <c r="P161" s="11"/>
      <c r="Q161" s="11"/>
      <c r="R161" s="11"/>
      <c r="S161" s="11"/>
      <c r="T161" s="11"/>
    </row>
    <row r="162" ht="15.75" customHeight="1">
      <c r="A162" s="8" t="str">
        <f t="shared" si="3"/>
        <v/>
      </c>
      <c r="B162" s="8"/>
      <c r="C162" s="8"/>
      <c r="D162" s="8"/>
      <c r="E162" s="8"/>
      <c r="F162" s="8"/>
      <c r="G162" s="8"/>
      <c r="H162" s="8"/>
      <c r="I162" s="8"/>
      <c r="J162" s="8"/>
      <c r="K162" s="8"/>
      <c r="L162" s="8"/>
      <c r="M162" s="8"/>
      <c r="N162" s="8"/>
      <c r="O162" s="8"/>
      <c r="P162" s="8"/>
      <c r="Q162" s="8"/>
      <c r="R162" s="8"/>
      <c r="S162" s="8"/>
      <c r="T162" s="8"/>
    </row>
    <row r="163" ht="15.75" customHeight="1">
      <c r="A163" s="11" t="str">
        <f t="shared" si="3"/>
        <v/>
      </c>
      <c r="B163" s="11"/>
      <c r="C163" s="11"/>
      <c r="D163" s="11"/>
      <c r="E163" s="11"/>
      <c r="F163" s="11"/>
      <c r="G163" s="11"/>
      <c r="H163" s="11"/>
      <c r="I163" s="11"/>
      <c r="J163" s="11"/>
      <c r="K163" s="11"/>
      <c r="L163" s="11"/>
      <c r="M163" s="11"/>
      <c r="N163" s="11"/>
      <c r="O163" s="11"/>
      <c r="P163" s="11"/>
      <c r="Q163" s="11"/>
      <c r="R163" s="11"/>
      <c r="S163" s="11"/>
      <c r="T163" s="11"/>
    </row>
    <row r="164" ht="15.75" customHeight="1">
      <c r="A164" s="8" t="str">
        <f t="shared" si="3"/>
        <v/>
      </c>
      <c r="B164" s="8"/>
      <c r="C164" s="8"/>
      <c r="D164" s="8"/>
      <c r="E164" s="8"/>
      <c r="F164" s="8"/>
      <c r="G164" s="8"/>
      <c r="H164" s="8"/>
      <c r="I164" s="8"/>
      <c r="J164" s="8"/>
      <c r="K164" s="8"/>
      <c r="L164" s="8"/>
      <c r="M164" s="8"/>
      <c r="N164" s="8"/>
      <c r="O164" s="8"/>
      <c r="P164" s="8"/>
      <c r="Q164" s="8"/>
      <c r="R164" s="8"/>
      <c r="S164" s="8"/>
      <c r="T164" s="8"/>
    </row>
    <row r="165" ht="15.75" customHeight="1">
      <c r="A165" s="11" t="str">
        <f t="shared" si="3"/>
        <v/>
      </c>
      <c r="B165" s="11"/>
      <c r="C165" s="11"/>
      <c r="D165" s="11"/>
      <c r="E165" s="11"/>
      <c r="F165" s="11"/>
      <c r="G165" s="11"/>
      <c r="H165" s="11"/>
      <c r="I165" s="11"/>
      <c r="J165" s="11"/>
      <c r="K165" s="11"/>
      <c r="L165" s="11"/>
      <c r="M165" s="11"/>
      <c r="N165" s="11"/>
      <c r="O165" s="11"/>
      <c r="P165" s="11"/>
      <c r="Q165" s="11"/>
      <c r="R165" s="11"/>
      <c r="S165" s="11"/>
      <c r="T165" s="11"/>
    </row>
    <row r="166" ht="15.75" customHeight="1">
      <c r="A166" s="8" t="str">
        <f t="shared" si="3"/>
        <v/>
      </c>
      <c r="B166" s="8"/>
      <c r="C166" s="8"/>
      <c r="D166" s="8"/>
      <c r="E166" s="8"/>
      <c r="F166" s="8"/>
      <c r="G166" s="8"/>
      <c r="H166" s="8"/>
      <c r="I166" s="8"/>
      <c r="J166" s="8"/>
      <c r="K166" s="8"/>
      <c r="L166" s="8"/>
      <c r="M166" s="8"/>
      <c r="N166" s="8"/>
      <c r="O166" s="8"/>
      <c r="P166" s="8"/>
      <c r="Q166" s="8"/>
      <c r="R166" s="8"/>
      <c r="S166" s="8"/>
      <c r="T166" s="8"/>
    </row>
    <row r="167" ht="15.75" customHeight="1">
      <c r="A167" s="11" t="str">
        <f t="shared" si="3"/>
        <v/>
      </c>
      <c r="B167" s="11"/>
      <c r="C167" s="11"/>
      <c r="D167" s="11"/>
      <c r="E167" s="11"/>
      <c r="F167" s="11"/>
      <c r="G167" s="11"/>
      <c r="H167" s="11"/>
      <c r="I167" s="11"/>
      <c r="J167" s="11"/>
      <c r="K167" s="11"/>
      <c r="L167" s="11"/>
      <c r="M167" s="11"/>
      <c r="N167" s="11"/>
      <c r="O167" s="11"/>
      <c r="P167" s="11"/>
      <c r="Q167" s="11"/>
      <c r="R167" s="11"/>
      <c r="S167" s="11"/>
      <c r="T167" s="11"/>
    </row>
    <row r="168" ht="15.75" customHeight="1">
      <c r="A168" s="8" t="str">
        <f t="shared" si="3"/>
        <v/>
      </c>
      <c r="B168" s="8"/>
      <c r="C168" s="8"/>
      <c r="D168" s="8"/>
      <c r="E168" s="8"/>
      <c r="F168" s="8"/>
      <c r="G168" s="8"/>
      <c r="H168" s="8"/>
      <c r="I168" s="8"/>
      <c r="J168" s="8"/>
      <c r="K168" s="8"/>
      <c r="L168" s="8"/>
      <c r="M168" s="8"/>
      <c r="N168" s="8"/>
      <c r="O168" s="8"/>
      <c r="P168" s="8"/>
      <c r="Q168" s="8"/>
      <c r="R168" s="8"/>
      <c r="S168" s="8"/>
      <c r="T168" s="8"/>
    </row>
    <row r="169" ht="15.75" customHeight="1">
      <c r="A169" s="11" t="str">
        <f t="shared" si="3"/>
        <v/>
      </c>
      <c r="B169" s="11"/>
      <c r="C169" s="11"/>
      <c r="D169" s="11"/>
      <c r="E169" s="11"/>
      <c r="F169" s="11"/>
      <c r="G169" s="11"/>
      <c r="H169" s="11"/>
      <c r="I169" s="11"/>
      <c r="J169" s="11"/>
      <c r="K169" s="11"/>
      <c r="L169" s="11"/>
      <c r="M169" s="11"/>
      <c r="N169" s="11"/>
      <c r="O169" s="11"/>
      <c r="P169" s="11"/>
      <c r="Q169" s="11"/>
      <c r="R169" s="11"/>
      <c r="S169" s="11"/>
      <c r="T169" s="11"/>
    </row>
    <row r="170" ht="15.75" customHeight="1">
      <c r="A170" s="8" t="str">
        <f t="shared" si="3"/>
        <v/>
      </c>
      <c r="B170" s="8"/>
      <c r="C170" s="8"/>
      <c r="D170" s="8"/>
      <c r="E170" s="8"/>
      <c r="F170" s="8"/>
      <c r="G170" s="8"/>
      <c r="H170" s="8"/>
      <c r="I170" s="8"/>
      <c r="J170" s="8"/>
      <c r="K170" s="8"/>
      <c r="L170" s="8"/>
      <c r="M170" s="8"/>
      <c r="N170" s="8"/>
      <c r="O170" s="8"/>
      <c r="P170" s="8"/>
      <c r="Q170" s="8"/>
      <c r="R170" s="8"/>
      <c r="S170" s="8"/>
      <c r="T170" s="8"/>
    </row>
    <row r="171" ht="15.75" customHeight="1">
      <c r="A171" s="11" t="str">
        <f t="shared" si="3"/>
        <v/>
      </c>
      <c r="B171" s="11"/>
      <c r="C171" s="11"/>
      <c r="D171" s="11"/>
      <c r="E171" s="11"/>
      <c r="F171" s="11"/>
      <c r="G171" s="11"/>
      <c r="H171" s="11"/>
      <c r="I171" s="11"/>
      <c r="J171" s="11"/>
      <c r="K171" s="11"/>
      <c r="L171" s="11"/>
      <c r="M171" s="11"/>
      <c r="N171" s="11"/>
      <c r="O171" s="11"/>
      <c r="P171" s="11"/>
      <c r="Q171" s="11"/>
      <c r="R171" s="11"/>
      <c r="S171" s="11"/>
      <c r="T171" s="11"/>
    </row>
    <row r="172" ht="15.75" customHeight="1">
      <c r="A172" s="8" t="str">
        <f t="shared" si="3"/>
        <v/>
      </c>
      <c r="B172" s="8"/>
      <c r="C172" s="8"/>
      <c r="D172" s="8"/>
      <c r="E172" s="8"/>
      <c r="F172" s="8"/>
      <c r="G172" s="8"/>
      <c r="H172" s="8"/>
      <c r="I172" s="8"/>
      <c r="J172" s="8"/>
      <c r="K172" s="8"/>
      <c r="L172" s="8"/>
      <c r="M172" s="8"/>
      <c r="N172" s="8"/>
      <c r="O172" s="8"/>
      <c r="P172" s="8"/>
      <c r="Q172" s="8"/>
      <c r="R172" s="8"/>
      <c r="S172" s="8"/>
      <c r="T172" s="8"/>
    </row>
    <row r="173" ht="15.75" customHeight="1">
      <c r="A173" s="11" t="str">
        <f t="shared" si="3"/>
        <v/>
      </c>
      <c r="B173" s="11"/>
      <c r="C173" s="11"/>
      <c r="D173" s="11"/>
      <c r="E173" s="11"/>
      <c r="F173" s="11"/>
      <c r="G173" s="11"/>
      <c r="H173" s="11"/>
      <c r="I173" s="11"/>
      <c r="J173" s="11"/>
      <c r="K173" s="11"/>
      <c r="L173" s="11"/>
      <c r="M173" s="11"/>
      <c r="N173" s="11"/>
      <c r="O173" s="11"/>
      <c r="P173" s="11"/>
      <c r="Q173" s="11"/>
      <c r="R173" s="11"/>
      <c r="S173" s="11"/>
      <c r="T173" s="11"/>
    </row>
    <row r="174" ht="15.75" customHeight="1">
      <c r="A174" s="8" t="str">
        <f t="shared" si="3"/>
        <v/>
      </c>
      <c r="B174" s="8"/>
      <c r="C174" s="8"/>
      <c r="D174" s="8"/>
      <c r="E174" s="8"/>
      <c r="F174" s="8"/>
      <c r="G174" s="8"/>
      <c r="H174" s="8"/>
      <c r="I174" s="8"/>
      <c r="J174" s="8"/>
      <c r="K174" s="8"/>
      <c r="L174" s="8"/>
      <c r="M174" s="8"/>
      <c r="N174" s="8"/>
      <c r="O174" s="8"/>
      <c r="P174" s="8"/>
      <c r="Q174" s="8"/>
      <c r="R174" s="8"/>
      <c r="S174" s="8"/>
      <c r="T174" s="8"/>
    </row>
    <row r="175" ht="15.75" customHeight="1">
      <c r="A175" s="11" t="str">
        <f t="shared" si="3"/>
        <v/>
      </c>
      <c r="B175" s="11"/>
      <c r="C175" s="11"/>
      <c r="D175" s="11"/>
      <c r="E175" s="11"/>
      <c r="F175" s="11"/>
      <c r="G175" s="11"/>
      <c r="H175" s="11"/>
      <c r="I175" s="11"/>
      <c r="J175" s="11"/>
      <c r="K175" s="11"/>
      <c r="L175" s="11"/>
      <c r="M175" s="11"/>
      <c r="N175" s="11"/>
      <c r="O175" s="11"/>
      <c r="P175" s="11"/>
      <c r="Q175" s="11"/>
      <c r="R175" s="11"/>
      <c r="S175" s="11"/>
      <c r="T175" s="11"/>
    </row>
    <row r="176" ht="15.75" customHeight="1">
      <c r="A176" s="8" t="str">
        <f t="shared" si="3"/>
        <v/>
      </c>
      <c r="B176" s="8"/>
      <c r="C176" s="8"/>
      <c r="D176" s="8"/>
      <c r="E176" s="8"/>
      <c r="F176" s="8"/>
      <c r="G176" s="8"/>
      <c r="H176" s="8"/>
      <c r="I176" s="8"/>
      <c r="J176" s="8"/>
      <c r="K176" s="8"/>
      <c r="L176" s="8"/>
      <c r="M176" s="8"/>
      <c r="N176" s="8"/>
      <c r="O176" s="8"/>
      <c r="P176" s="8"/>
      <c r="Q176" s="8"/>
      <c r="R176" s="8"/>
      <c r="S176" s="8"/>
      <c r="T176" s="8"/>
    </row>
    <row r="177" ht="15.75" customHeight="1">
      <c r="A177" s="11" t="str">
        <f t="shared" si="3"/>
        <v/>
      </c>
      <c r="B177" s="11"/>
      <c r="C177" s="11"/>
      <c r="D177" s="11"/>
      <c r="E177" s="11"/>
      <c r="F177" s="11"/>
      <c r="G177" s="11"/>
      <c r="H177" s="11"/>
      <c r="I177" s="11"/>
      <c r="J177" s="11"/>
      <c r="K177" s="11"/>
      <c r="L177" s="11"/>
      <c r="M177" s="11"/>
      <c r="N177" s="11"/>
      <c r="O177" s="11"/>
      <c r="P177" s="11"/>
      <c r="Q177" s="11"/>
      <c r="R177" s="11"/>
      <c r="S177" s="11"/>
      <c r="T177" s="11"/>
    </row>
    <row r="178" ht="15.75" customHeight="1">
      <c r="A178" s="8" t="str">
        <f t="shared" si="3"/>
        <v/>
      </c>
      <c r="B178" s="8"/>
      <c r="C178" s="8"/>
      <c r="D178" s="8"/>
      <c r="E178" s="8"/>
      <c r="F178" s="8"/>
      <c r="G178" s="8"/>
      <c r="H178" s="8"/>
      <c r="I178" s="8"/>
      <c r="J178" s="8"/>
      <c r="K178" s="8"/>
      <c r="L178" s="8"/>
      <c r="M178" s="8"/>
      <c r="N178" s="8"/>
      <c r="O178" s="8"/>
      <c r="P178" s="8"/>
      <c r="Q178" s="8"/>
      <c r="R178" s="8"/>
      <c r="S178" s="8"/>
      <c r="T178" s="8"/>
    </row>
    <row r="179" ht="15.75" customHeight="1">
      <c r="A179" s="11" t="str">
        <f t="shared" si="3"/>
        <v/>
      </c>
      <c r="B179" s="11"/>
      <c r="C179" s="11"/>
      <c r="D179" s="11"/>
      <c r="E179" s="11"/>
      <c r="F179" s="11"/>
      <c r="G179" s="11"/>
      <c r="H179" s="11"/>
      <c r="I179" s="11"/>
      <c r="J179" s="11"/>
      <c r="K179" s="11"/>
      <c r="L179" s="11"/>
      <c r="M179" s="11"/>
      <c r="N179" s="11"/>
      <c r="O179" s="11"/>
      <c r="P179" s="11"/>
      <c r="Q179" s="11"/>
      <c r="R179" s="11"/>
      <c r="S179" s="11"/>
      <c r="T179" s="11"/>
    </row>
    <row r="180" ht="15.75" customHeight="1">
      <c r="A180" s="8" t="str">
        <f t="shared" si="3"/>
        <v/>
      </c>
      <c r="B180" s="8"/>
      <c r="C180" s="8"/>
      <c r="D180" s="8"/>
      <c r="E180" s="8"/>
      <c r="F180" s="8"/>
      <c r="G180" s="8"/>
      <c r="H180" s="8"/>
      <c r="I180" s="8"/>
      <c r="J180" s="8"/>
      <c r="K180" s="8"/>
      <c r="L180" s="8"/>
      <c r="M180" s="8"/>
      <c r="N180" s="8"/>
      <c r="O180" s="8"/>
      <c r="P180" s="8"/>
      <c r="Q180" s="8"/>
      <c r="R180" s="8"/>
      <c r="S180" s="8"/>
      <c r="T180" s="8"/>
    </row>
    <row r="181" ht="15.75" customHeight="1">
      <c r="A181" s="11" t="str">
        <f t="shared" si="3"/>
        <v/>
      </c>
      <c r="B181" s="11"/>
      <c r="C181" s="11"/>
      <c r="D181" s="11"/>
      <c r="E181" s="11"/>
      <c r="F181" s="11"/>
      <c r="G181" s="11"/>
      <c r="H181" s="11"/>
      <c r="I181" s="11"/>
      <c r="J181" s="11"/>
      <c r="K181" s="11"/>
      <c r="L181" s="11"/>
      <c r="M181" s="11"/>
      <c r="N181" s="11"/>
      <c r="O181" s="11"/>
      <c r="P181" s="11"/>
      <c r="Q181" s="11"/>
      <c r="R181" s="11"/>
      <c r="S181" s="11"/>
      <c r="T181" s="11"/>
    </row>
    <row r="182" ht="15.75" customHeight="1">
      <c r="A182" s="8" t="str">
        <f t="shared" si="3"/>
        <v/>
      </c>
      <c r="B182" s="8"/>
      <c r="C182" s="8"/>
      <c r="D182" s="8"/>
      <c r="E182" s="8"/>
      <c r="F182" s="8"/>
      <c r="G182" s="8"/>
      <c r="H182" s="8"/>
      <c r="I182" s="8"/>
      <c r="J182" s="8"/>
      <c r="K182" s="8"/>
      <c r="L182" s="8"/>
      <c r="M182" s="8"/>
      <c r="N182" s="8"/>
      <c r="O182" s="8"/>
      <c r="P182" s="8"/>
      <c r="Q182" s="8"/>
      <c r="R182" s="8"/>
      <c r="S182" s="8"/>
      <c r="T182" s="8"/>
    </row>
    <row r="183" ht="15.75" customHeight="1">
      <c r="A183" s="11" t="str">
        <f t="shared" si="3"/>
        <v/>
      </c>
      <c r="B183" s="11"/>
      <c r="C183" s="11"/>
      <c r="D183" s="11"/>
      <c r="E183" s="11"/>
      <c r="F183" s="11"/>
      <c r="G183" s="11"/>
      <c r="H183" s="11"/>
      <c r="I183" s="11"/>
      <c r="J183" s="11"/>
      <c r="K183" s="11"/>
      <c r="L183" s="11"/>
      <c r="M183" s="11"/>
      <c r="N183" s="11"/>
      <c r="O183" s="11"/>
      <c r="P183" s="11"/>
      <c r="Q183" s="11"/>
      <c r="R183" s="11"/>
      <c r="S183" s="11"/>
      <c r="T183" s="11"/>
    </row>
    <row r="184" ht="15.75" customHeight="1">
      <c r="A184" s="8" t="str">
        <f t="shared" si="3"/>
        <v/>
      </c>
      <c r="B184" s="8"/>
      <c r="C184" s="8"/>
      <c r="D184" s="8"/>
      <c r="E184" s="8"/>
      <c r="F184" s="8"/>
      <c r="G184" s="8"/>
      <c r="H184" s="8"/>
      <c r="I184" s="8"/>
      <c r="J184" s="8"/>
      <c r="K184" s="8"/>
      <c r="L184" s="8"/>
      <c r="M184" s="8"/>
      <c r="N184" s="8"/>
      <c r="O184" s="8"/>
      <c r="P184" s="8"/>
      <c r="Q184" s="8"/>
      <c r="R184" s="8"/>
      <c r="S184" s="8"/>
      <c r="T184" s="8"/>
    </row>
    <row r="185" ht="15.75" customHeight="1">
      <c r="A185" s="11" t="str">
        <f t="shared" si="3"/>
        <v/>
      </c>
      <c r="B185" s="11"/>
      <c r="C185" s="11"/>
      <c r="D185" s="11"/>
      <c r="E185" s="11"/>
      <c r="F185" s="11"/>
      <c r="G185" s="11"/>
      <c r="H185" s="11"/>
      <c r="I185" s="11"/>
      <c r="J185" s="11"/>
      <c r="K185" s="11"/>
      <c r="L185" s="11"/>
      <c r="M185" s="11"/>
      <c r="N185" s="11"/>
      <c r="O185" s="11"/>
      <c r="P185" s="11"/>
      <c r="Q185" s="11"/>
      <c r="R185" s="11"/>
      <c r="S185" s="11"/>
      <c r="T185" s="11"/>
    </row>
    <row r="186" ht="15.75" customHeight="1">
      <c r="A186" s="8" t="str">
        <f t="shared" si="3"/>
        <v/>
      </c>
      <c r="B186" s="8"/>
      <c r="C186" s="8"/>
      <c r="D186" s="8"/>
      <c r="E186" s="8"/>
      <c r="F186" s="8"/>
      <c r="G186" s="8"/>
      <c r="H186" s="8"/>
      <c r="I186" s="8"/>
      <c r="J186" s="8"/>
      <c r="K186" s="8"/>
      <c r="L186" s="8"/>
      <c r="M186" s="8"/>
      <c r="N186" s="8"/>
      <c r="O186" s="8"/>
      <c r="P186" s="8"/>
      <c r="Q186" s="8"/>
      <c r="R186" s="8"/>
      <c r="S186" s="8"/>
      <c r="T186" s="8"/>
    </row>
    <row r="187" ht="15.75" customHeight="1">
      <c r="A187" s="11" t="str">
        <f t="shared" si="3"/>
        <v/>
      </c>
      <c r="B187" s="11"/>
      <c r="C187" s="11"/>
      <c r="D187" s="11"/>
      <c r="E187" s="11"/>
      <c r="F187" s="11"/>
      <c r="G187" s="11"/>
      <c r="H187" s="11"/>
      <c r="I187" s="11"/>
      <c r="J187" s="11"/>
      <c r="K187" s="11"/>
      <c r="L187" s="11"/>
      <c r="M187" s="11"/>
      <c r="N187" s="11"/>
      <c r="O187" s="11"/>
      <c r="P187" s="11"/>
      <c r="Q187" s="11"/>
      <c r="R187" s="11"/>
      <c r="S187" s="11"/>
      <c r="T187" s="11"/>
    </row>
    <row r="188" ht="15.75" customHeight="1">
      <c r="A188" s="8" t="str">
        <f t="shared" si="3"/>
        <v/>
      </c>
      <c r="B188" s="8"/>
      <c r="C188" s="8"/>
      <c r="D188" s="8"/>
      <c r="E188" s="8"/>
      <c r="F188" s="8"/>
      <c r="G188" s="8"/>
      <c r="H188" s="8"/>
      <c r="I188" s="8"/>
      <c r="J188" s="8"/>
      <c r="K188" s="8"/>
      <c r="L188" s="8"/>
      <c r="M188" s="8"/>
      <c r="N188" s="8"/>
      <c r="O188" s="8"/>
      <c r="P188" s="8"/>
      <c r="Q188" s="8"/>
      <c r="R188" s="8"/>
      <c r="S188" s="8"/>
      <c r="T188" s="8"/>
    </row>
    <row r="189" ht="15.75" customHeight="1">
      <c r="A189" s="11" t="str">
        <f t="shared" si="3"/>
        <v/>
      </c>
      <c r="B189" s="11"/>
      <c r="C189" s="11"/>
      <c r="D189" s="11"/>
      <c r="E189" s="11"/>
      <c r="F189" s="11"/>
      <c r="G189" s="11"/>
      <c r="H189" s="11"/>
      <c r="I189" s="11"/>
      <c r="J189" s="11"/>
      <c r="K189" s="11"/>
      <c r="L189" s="11"/>
      <c r="M189" s="11"/>
      <c r="N189" s="11"/>
      <c r="O189" s="11"/>
      <c r="P189" s="11"/>
      <c r="Q189" s="11"/>
      <c r="R189" s="11"/>
      <c r="S189" s="11"/>
      <c r="T189" s="11"/>
    </row>
    <row r="190" ht="15.75" customHeight="1">
      <c r="A190" s="8" t="str">
        <f t="shared" si="3"/>
        <v/>
      </c>
      <c r="B190" s="8"/>
      <c r="C190" s="8"/>
      <c r="D190" s="8"/>
      <c r="E190" s="8"/>
      <c r="F190" s="8"/>
      <c r="G190" s="8"/>
      <c r="H190" s="8"/>
      <c r="I190" s="8"/>
      <c r="J190" s="8"/>
      <c r="K190" s="8"/>
      <c r="L190" s="8"/>
      <c r="M190" s="8"/>
      <c r="N190" s="8"/>
      <c r="O190" s="8"/>
      <c r="P190" s="8"/>
      <c r="Q190" s="8"/>
      <c r="R190" s="8"/>
      <c r="S190" s="8"/>
      <c r="T190" s="8"/>
    </row>
    <row r="191" ht="15.75" customHeight="1">
      <c r="A191" s="11" t="str">
        <f t="shared" si="3"/>
        <v/>
      </c>
      <c r="B191" s="11"/>
      <c r="C191" s="11"/>
      <c r="D191" s="11"/>
      <c r="E191" s="11"/>
      <c r="F191" s="11"/>
      <c r="G191" s="11"/>
      <c r="H191" s="11"/>
      <c r="I191" s="11"/>
      <c r="J191" s="11"/>
      <c r="K191" s="11"/>
      <c r="L191" s="11"/>
      <c r="M191" s="11"/>
      <c r="N191" s="11"/>
      <c r="O191" s="11"/>
      <c r="P191" s="11"/>
      <c r="Q191" s="11"/>
      <c r="R191" s="11"/>
      <c r="S191" s="11"/>
      <c r="T191" s="11"/>
    </row>
    <row r="192" ht="15.75" customHeight="1">
      <c r="A192" s="8" t="str">
        <f t="shared" si="3"/>
        <v/>
      </c>
      <c r="B192" s="8"/>
      <c r="C192" s="8"/>
      <c r="D192" s="8"/>
      <c r="E192" s="8"/>
      <c r="F192" s="8"/>
      <c r="G192" s="8"/>
      <c r="H192" s="8"/>
      <c r="I192" s="8"/>
      <c r="J192" s="8"/>
      <c r="K192" s="8"/>
      <c r="L192" s="8"/>
      <c r="M192" s="8"/>
      <c r="N192" s="8"/>
      <c r="O192" s="8"/>
      <c r="P192" s="8"/>
      <c r="Q192" s="8"/>
      <c r="R192" s="8"/>
      <c r="S192" s="8"/>
      <c r="T192" s="8"/>
    </row>
    <row r="193" ht="15.75" customHeight="1">
      <c r="A193" s="11" t="str">
        <f t="shared" si="3"/>
        <v/>
      </c>
      <c r="B193" s="11"/>
      <c r="C193" s="11"/>
      <c r="D193" s="11"/>
      <c r="E193" s="11"/>
      <c r="F193" s="11"/>
      <c r="G193" s="11"/>
      <c r="H193" s="11"/>
      <c r="I193" s="11"/>
      <c r="J193" s="11"/>
      <c r="K193" s="11"/>
      <c r="L193" s="11"/>
      <c r="M193" s="11"/>
      <c r="N193" s="11"/>
      <c r="O193" s="11"/>
      <c r="P193" s="11"/>
      <c r="Q193" s="11"/>
      <c r="R193" s="11"/>
      <c r="S193" s="11"/>
      <c r="T193" s="11"/>
    </row>
    <row r="194" ht="15.75" customHeight="1">
      <c r="A194" s="8" t="str">
        <f t="shared" si="3"/>
        <v/>
      </c>
      <c r="B194" s="8"/>
      <c r="C194" s="8"/>
      <c r="D194" s="8"/>
      <c r="E194" s="8"/>
      <c r="F194" s="8"/>
      <c r="G194" s="8"/>
      <c r="H194" s="8"/>
      <c r="I194" s="8"/>
      <c r="J194" s="8"/>
      <c r="K194" s="8"/>
      <c r="L194" s="8"/>
      <c r="M194" s="8"/>
      <c r="N194" s="8"/>
      <c r="O194" s="8"/>
      <c r="P194" s="8"/>
      <c r="Q194" s="8"/>
      <c r="R194" s="8"/>
      <c r="S194" s="8"/>
      <c r="T194" s="8"/>
    </row>
    <row r="195" ht="15.75" customHeight="1">
      <c r="A195" s="11" t="str">
        <f t="shared" si="3"/>
        <v/>
      </c>
      <c r="B195" s="11"/>
      <c r="C195" s="11"/>
      <c r="D195" s="11"/>
      <c r="E195" s="11"/>
      <c r="F195" s="11"/>
      <c r="G195" s="11"/>
      <c r="H195" s="11"/>
      <c r="I195" s="11"/>
      <c r="J195" s="11"/>
      <c r="K195" s="11"/>
      <c r="L195" s="11"/>
      <c r="M195" s="11"/>
      <c r="N195" s="11"/>
      <c r="O195" s="11"/>
      <c r="P195" s="11"/>
      <c r="Q195" s="11"/>
      <c r="R195" s="11"/>
      <c r="S195" s="11"/>
      <c r="T195" s="11"/>
    </row>
    <row r="196" ht="15.75" customHeight="1">
      <c r="A196" s="8" t="str">
        <f t="shared" si="3"/>
        <v/>
      </c>
      <c r="B196" s="8"/>
      <c r="C196" s="8"/>
      <c r="D196" s="8"/>
      <c r="E196" s="8"/>
      <c r="F196" s="8"/>
      <c r="G196" s="8"/>
      <c r="H196" s="8"/>
      <c r="I196" s="8"/>
      <c r="J196" s="8"/>
      <c r="K196" s="8"/>
      <c r="L196" s="8"/>
      <c r="M196" s="8"/>
      <c r="N196" s="8"/>
      <c r="O196" s="8"/>
      <c r="P196" s="8"/>
      <c r="Q196" s="8"/>
      <c r="R196" s="8"/>
      <c r="S196" s="8"/>
      <c r="T196" s="8"/>
    </row>
    <row r="197" ht="15.75" customHeight="1">
      <c r="A197" s="11" t="str">
        <f t="shared" si="3"/>
        <v/>
      </c>
      <c r="B197" s="11"/>
      <c r="C197" s="11"/>
      <c r="D197" s="11"/>
      <c r="E197" s="11"/>
      <c r="F197" s="11"/>
      <c r="G197" s="11"/>
      <c r="H197" s="11"/>
      <c r="I197" s="11"/>
      <c r="J197" s="11"/>
      <c r="K197" s="11"/>
      <c r="L197" s="11"/>
      <c r="M197" s="11"/>
      <c r="N197" s="11"/>
      <c r="O197" s="11"/>
      <c r="P197" s="11"/>
      <c r="Q197" s="11"/>
      <c r="R197" s="11"/>
      <c r="S197" s="11"/>
      <c r="T197" s="11"/>
    </row>
    <row r="198" ht="15.75" customHeight="1">
      <c r="A198" s="8" t="str">
        <f t="shared" si="3"/>
        <v/>
      </c>
      <c r="B198" s="8"/>
      <c r="C198" s="8"/>
      <c r="D198" s="8"/>
      <c r="E198" s="8"/>
      <c r="F198" s="8"/>
      <c r="G198" s="8"/>
      <c r="H198" s="8"/>
      <c r="I198" s="8"/>
      <c r="J198" s="8"/>
      <c r="K198" s="8"/>
      <c r="L198" s="8"/>
      <c r="M198" s="8"/>
      <c r="N198" s="8"/>
      <c r="O198" s="8"/>
      <c r="P198" s="8"/>
      <c r="Q198" s="8"/>
      <c r="R198" s="8"/>
      <c r="S198" s="8"/>
      <c r="T198" s="8"/>
    </row>
    <row r="199" ht="15.75" customHeight="1">
      <c r="A199" s="11" t="str">
        <f t="shared" si="3"/>
        <v/>
      </c>
      <c r="B199" s="11"/>
      <c r="C199" s="11"/>
      <c r="D199" s="11"/>
      <c r="E199" s="11"/>
      <c r="F199" s="11"/>
      <c r="G199" s="11"/>
      <c r="H199" s="11"/>
      <c r="I199" s="11"/>
      <c r="J199" s="11"/>
      <c r="K199" s="11"/>
      <c r="L199" s="11"/>
      <c r="M199" s="11"/>
      <c r="N199" s="11"/>
      <c r="O199" s="11"/>
      <c r="P199" s="11"/>
      <c r="Q199" s="11"/>
      <c r="R199" s="11"/>
      <c r="S199" s="11"/>
      <c r="T199" s="11"/>
    </row>
    <row r="200" ht="15.75" customHeight="1">
      <c r="A200" s="8" t="str">
        <f t="shared" si="3"/>
        <v/>
      </c>
      <c r="B200" s="8"/>
      <c r="C200" s="8"/>
      <c r="D200" s="8"/>
      <c r="E200" s="8"/>
      <c r="F200" s="8"/>
      <c r="G200" s="8"/>
      <c r="H200" s="8"/>
      <c r="I200" s="8"/>
      <c r="J200" s="8"/>
      <c r="K200" s="8"/>
      <c r="L200" s="8"/>
      <c r="M200" s="8"/>
      <c r="N200" s="8"/>
      <c r="O200" s="8"/>
      <c r="P200" s="8"/>
      <c r="Q200" s="8"/>
      <c r="R200" s="8"/>
      <c r="S200" s="8"/>
      <c r="T200" s="8"/>
    </row>
    <row r="201" ht="15.75" customHeight="1">
      <c r="A201" s="6"/>
      <c r="B201" s="31"/>
      <c r="C201" s="8"/>
      <c r="D201" s="8"/>
      <c r="E201" s="8"/>
      <c r="F201" s="6"/>
      <c r="G201" s="6"/>
      <c r="H201" s="6"/>
      <c r="I201" s="6"/>
      <c r="J201" s="8"/>
      <c r="K201" s="8"/>
      <c r="L201" s="6"/>
      <c r="M201" s="8"/>
      <c r="N201" s="8"/>
      <c r="O201" s="8"/>
      <c r="P201" s="6"/>
      <c r="Q201" s="6"/>
      <c r="R201" s="6"/>
      <c r="S201" s="8"/>
      <c r="T201" s="8"/>
    </row>
    <row r="202" ht="15.75" customHeight="1">
      <c r="P202" s="18"/>
      <c r="S202" s="18"/>
    </row>
    <row r="203" ht="15.75" customHeight="1">
      <c r="P203" s="18"/>
      <c r="S203" s="18"/>
    </row>
    <row r="204" ht="15.75" customHeight="1">
      <c r="P204" s="18"/>
      <c r="S204" s="18"/>
    </row>
    <row r="205" ht="15.75" customHeight="1">
      <c r="P205" s="18"/>
      <c r="S205" s="18"/>
    </row>
    <row r="206" ht="15.75" customHeight="1">
      <c r="P206" s="18"/>
      <c r="S206" s="18"/>
    </row>
    <row r="207" ht="15.75" customHeight="1">
      <c r="P207" s="18"/>
      <c r="S207" s="18"/>
    </row>
    <row r="208" ht="15.75" customHeight="1">
      <c r="P208" s="18"/>
      <c r="S208" s="18"/>
    </row>
    <row r="209" ht="15.75" customHeight="1">
      <c r="P209" s="18"/>
      <c r="S209" s="18"/>
    </row>
    <row r="210" ht="15.75" customHeight="1">
      <c r="P210" s="18"/>
      <c r="S210" s="18"/>
    </row>
    <row r="211" ht="15.75" customHeight="1">
      <c r="P211" s="18"/>
      <c r="S211" s="18"/>
    </row>
    <row r="212" ht="15.75" customHeight="1">
      <c r="P212" s="18"/>
      <c r="S212" s="18"/>
    </row>
    <row r="213" ht="15.75" customHeight="1">
      <c r="P213" s="18"/>
      <c r="S213" s="18"/>
    </row>
    <row r="214" ht="15.75" customHeight="1">
      <c r="P214" s="18"/>
      <c r="S214" s="18"/>
    </row>
    <row r="215" ht="15.75" customHeight="1">
      <c r="P215" s="18"/>
      <c r="S215" s="18"/>
    </row>
    <row r="216" ht="15.75" customHeight="1">
      <c r="P216" s="18"/>
      <c r="S216" s="18"/>
    </row>
    <row r="217" ht="15.75" customHeight="1">
      <c r="P217" s="18"/>
      <c r="S217" s="18"/>
    </row>
    <row r="218" ht="15.75" customHeight="1">
      <c r="P218" s="18"/>
      <c r="S218" s="18"/>
    </row>
    <row r="219" ht="15.75" customHeight="1">
      <c r="P219" s="18"/>
      <c r="S219" s="18"/>
    </row>
    <row r="220" ht="15.75" customHeight="1">
      <c r="P220" s="18"/>
      <c r="S220" s="18"/>
    </row>
    <row r="221" ht="15.75" customHeight="1">
      <c r="P221" s="18"/>
      <c r="S221" s="18"/>
    </row>
    <row r="222" ht="15.75" customHeight="1">
      <c r="P222" s="18"/>
      <c r="S222" s="18"/>
    </row>
    <row r="223" ht="15.75" customHeight="1">
      <c r="P223" s="18"/>
      <c r="S223" s="18"/>
    </row>
    <row r="224" ht="15.75" customHeight="1">
      <c r="P224" s="18"/>
      <c r="S224" s="18"/>
    </row>
    <row r="225" ht="15.75" customHeight="1">
      <c r="P225" s="18"/>
      <c r="S225" s="18"/>
    </row>
    <row r="226" ht="15.75" customHeight="1">
      <c r="P226" s="18"/>
      <c r="S226" s="18"/>
    </row>
    <row r="227" ht="15.75" customHeight="1">
      <c r="P227" s="18"/>
      <c r="S227" s="18"/>
    </row>
    <row r="228" ht="15.75" customHeight="1">
      <c r="P228" s="18"/>
      <c r="S228" s="18"/>
    </row>
    <row r="229" ht="15.75" customHeight="1">
      <c r="P229" s="18"/>
      <c r="S229" s="18"/>
    </row>
    <row r="230" ht="15.75" customHeight="1">
      <c r="P230" s="18"/>
      <c r="S230" s="18"/>
    </row>
    <row r="231" ht="15.75" customHeight="1">
      <c r="P231" s="18"/>
      <c r="S231" s="18"/>
    </row>
    <row r="232" ht="15.75" customHeight="1">
      <c r="P232" s="18"/>
      <c r="S232" s="18"/>
    </row>
    <row r="233" ht="15.75" customHeight="1">
      <c r="P233" s="18"/>
      <c r="S233" s="18"/>
    </row>
    <row r="234" ht="15.75" customHeight="1">
      <c r="P234" s="18"/>
      <c r="S234" s="18"/>
    </row>
    <row r="235" ht="15.75" customHeight="1">
      <c r="P235" s="18"/>
      <c r="S235" s="18"/>
    </row>
    <row r="236" ht="15.75" customHeight="1">
      <c r="P236" s="18"/>
      <c r="S236" s="18"/>
    </row>
    <row r="237" ht="15.75" customHeight="1">
      <c r="P237" s="18"/>
      <c r="S237" s="18"/>
    </row>
    <row r="238" ht="15.75" customHeight="1">
      <c r="P238" s="18"/>
      <c r="S238" s="18"/>
    </row>
    <row r="239" ht="15.75" customHeight="1">
      <c r="P239" s="18"/>
      <c r="S239" s="18"/>
    </row>
    <row r="240" ht="15.75" customHeight="1">
      <c r="P240" s="18"/>
      <c r="S240" s="18"/>
    </row>
    <row r="241" ht="15.75" customHeight="1">
      <c r="P241" s="18"/>
      <c r="S241" s="18"/>
    </row>
    <row r="242" ht="15.75" customHeight="1">
      <c r="P242" s="18"/>
      <c r="S242" s="18"/>
    </row>
    <row r="243" ht="15.75" customHeight="1">
      <c r="P243" s="18"/>
      <c r="S243" s="18"/>
    </row>
    <row r="244" ht="15.75" customHeight="1">
      <c r="P244" s="18"/>
      <c r="S244" s="18"/>
    </row>
    <row r="245" ht="15.75" customHeight="1">
      <c r="P245" s="18"/>
      <c r="S245" s="18"/>
    </row>
    <row r="246" ht="15.75" customHeight="1">
      <c r="P246" s="18"/>
      <c r="S246" s="18"/>
    </row>
    <row r="247" ht="15.75" customHeight="1">
      <c r="P247" s="18"/>
      <c r="S247" s="18"/>
    </row>
    <row r="248" ht="15.75" customHeight="1">
      <c r="P248" s="18"/>
      <c r="S248" s="18"/>
    </row>
    <row r="249" ht="15.75" customHeight="1">
      <c r="P249" s="18"/>
      <c r="S249" s="18"/>
    </row>
    <row r="250" ht="15.75" customHeight="1">
      <c r="P250" s="18"/>
      <c r="S250" s="18"/>
    </row>
    <row r="251" ht="15.75" customHeight="1">
      <c r="P251" s="18"/>
      <c r="S251" s="18"/>
    </row>
    <row r="252" ht="15.75" customHeight="1">
      <c r="P252" s="18"/>
      <c r="S252" s="18"/>
    </row>
    <row r="253" ht="15.75" customHeight="1">
      <c r="P253" s="18"/>
      <c r="S253" s="18"/>
    </row>
    <row r="254" ht="15.75" customHeight="1">
      <c r="P254" s="18"/>
      <c r="S254" s="18"/>
    </row>
    <row r="255" ht="15.75" customHeight="1">
      <c r="P255" s="18"/>
      <c r="S255" s="18"/>
    </row>
    <row r="256" ht="15.75" customHeight="1">
      <c r="P256" s="18"/>
      <c r="S256" s="18"/>
    </row>
    <row r="257" ht="15.75" customHeight="1">
      <c r="P257" s="18"/>
      <c r="S257" s="18"/>
    </row>
    <row r="258" ht="15.75" customHeight="1">
      <c r="P258" s="18"/>
      <c r="S258" s="18"/>
    </row>
    <row r="259" ht="15.75" customHeight="1">
      <c r="P259" s="18"/>
      <c r="S259" s="18"/>
    </row>
    <row r="260" ht="15.75" customHeight="1">
      <c r="P260" s="18"/>
      <c r="S260" s="18"/>
    </row>
    <row r="261" ht="15.75" customHeight="1">
      <c r="P261" s="18"/>
      <c r="S261" s="18"/>
    </row>
    <row r="262" ht="15.75" customHeight="1">
      <c r="P262" s="18"/>
      <c r="S262" s="18"/>
    </row>
    <row r="263" ht="15.75" customHeight="1">
      <c r="P263" s="18"/>
      <c r="S263" s="18"/>
    </row>
    <row r="264" ht="15.75" customHeight="1">
      <c r="P264" s="18"/>
      <c r="S264" s="18"/>
    </row>
    <row r="265" ht="15.75" customHeight="1">
      <c r="P265" s="18"/>
      <c r="S265" s="18"/>
    </row>
    <row r="266" ht="15.75" customHeight="1">
      <c r="P266" s="18"/>
      <c r="S266" s="18"/>
    </row>
    <row r="267" ht="15.75" customHeight="1">
      <c r="P267" s="18"/>
      <c r="S267" s="18"/>
    </row>
    <row r="268" ht="15.75" customHeight="1">
      <c r="P268" s="18"/>
      <c r="S268" s="18"/>
    </row>
    <row r="269" ht="15.75" customHeight="1">
      <c r="P269" s="18"/>
      <c r="S269" s="18"/>
    </row>
    <row r="270" ht="15.75" customHeight="1">
      <c r="P270" s="18"/>
      <c r="S270" s="18"/>
    </row>
    <row r="271" ht="15.75" customHeight="1">
      <c r="P271" s="18"/>
      <c r="S271" s="18"/>
    </row>
    <row r="272" ht="15.75" customHeight="1">
      <c r="P272" s="18"/>
      <c r="S272" s="18"/>
    </row>
    <row r="273" ht="15.75" customHeight="1">
      <c r="P273" s="18"/>
      <c r="S273" s="18"/>
    </row>
    <row r="274" ht="15.75" customHeight="1">
      <c r="P274" s="18"/>
      <c r="S274" s="18"/>
    </row>
    <row r="275" ht="15.75" customHeight="1">
      <c r="P275" s="18"/>
      <c r="S275" s="18"/>
    </row>
    <row r="276" ht="15.75" customHeight="1">
      <c r="P276" s="18"/>
      <c r="S276" s="18"/>
    </row>
    <row r="277" ht="15.75" customHeight="1">
      <c r="P277" s="18"/>
      <c r="S277" s="18"/>
    </row>
    <row r="278" ht="15.75" customHeight="1">
      <c r="P278" s="18"/>
      <c r="S278" s="18"/>
    </row>
    <row r="279" ht="15.75" customHeight="1">
      <c r="P279" s="18"/>
      <c r="S279" s="18"/>
    </row>
    <row r="280" ht="15.75" customHeight="1">
      <c r="P280" s="18"/>
      <c r="S280" s="18"/>
    </row>
    <row r="281" ht="15.75" customHeight="1">
      <c r="P281" s="18"/>
      <c r="S281" s="18"/>
    </row>
    <row r="282" ht="15.75" customHeight="1">
      <c r="P282" s="18"/>
      <c r="S282" s="18"/>
    </row>
    <row r="283" ht="15.75" customHeight="1">
      <c r="P283" s="18"/>
      <c r="S283" s="18"/>
    </row>
    <row r="284" ht="15.75" customHeight="1">
      <c r="P284" s="18"/>
      <c r="S284" s="18"/>
    </row>
    <row r="285" ht="15.75" customHeight="1">
      <c r="P285" s="18"/>
      <c r="S285" s="18"/>
    </row>
    <row r="286" ht="15.75" customHeight="1">
      <c r="P286" s="18"/>
      <c r="S286" s="18"/>
    </row>
    <row r="287" ht="15.75" customHeight="1">
      <c r="P287" s="18"/>
      <c r="S287" s="18"/>
    </row>
    <row r="288" ht="15.75" customHeight="1">
      <c r="P288" s="18"/>
      <c r="S288" s="18"/>
    </row>
    <row r="289" ht="15.75" customHeight="1">
      <c r="P289" s="18"/>
      <c r="S289" s="18"/>
    </row>
    <row r="290" ht="15.75" customHeight="1">
      <c r="P290" s="18"/>
      <c r="S290" s="18"/>
    </row>
    <row r="291" ht="15.75" customHeight="1">
      <c r="P291" s="18"/>
      <c r="S291" s="18"/>
    </row>
    <row r="292" ht="15.75" customHeight="1">
      <c r="P292" s="18"/>
      <c r="S292" s="18"/>
    </row>
    <row r="293" ht="15.75" customHeight="1">
      <c r="P293" s="18"/>
      <c r="S293" s="18"/>
    </row>
    <row r="294" ht="15.75" customHeight="1">
      <c r="P294" s="18"/>
      <c r="S294" s="18"/>
    </row>
    <row r="295" ht="15.75" customHeight="1">
      <c r="P295" s="18"/>
      <c r="S295" s="18"/>
    </row>
    <row r="296" ht="15.75" customHeight="1">
      <c r="P296" s="18"/>
      <c r="S296" s="18"/>
    </row>
    <row r="297" ht="15.75" customHeight="1">
      <c r="P297" s="18"/>
      <c r="S297" s="18"/>
    </row>
    <row r="298" ht="15.75" customHeight="1">
      <c r="P298" s="18"/>
      <c r="S298" s="18"/>
    </row>
    <row r="299" ht="15.75" customHeight="1">
      <c r="P299" s="18"/>
      <c r="S299" s="18"/>
    </row>
    <row r="300" ht="15.75" customHeight="1">
      <c r="P300" s="18"/>
      <c r="S300" s="18"/>
    </row>
    <row r="301" ht="15.75" customHeight="1">
      <c r="P301" s="18"/>
      <c r="S301" s="18"/>
    </row>
    <row r="302" ht="15.75" customHeight="1">
      <c r="P302" s="18"/>
      <c r="S302" s="18"/>
    </row>
    <row r="303" ht="15.75" customHeight="1">
      <c r="P303" s="18"/>
      <c r="S303" s="18"/>
    </row>
    <row r="304" ht="15.75" customHeight="1">
      <c r="P304" s="18"/>
      <c r="S304" s="18"/>
    </row>
    <row r="305" ht="15.75" customHeight="1">
      <c r="P305" s="18"/>
      <c r="S305" s="18"/>
    </row>
    <row r="306" ht="15.75" customHeight="1">
      <c r="P306" s="18"/>
      <c r="S306" s="18"/>
    </row>
    <row r="307" ht="15.75" customHeight="1">
      <c r="P307" s="18"/>
      <c r="S307" s="18"/>
    </row>
    <row r="308" ht="15.75" customHeight="1">
      <c r="P308" s="18"/>
      <c r="S308" s="18"/>
    </row>
    <row r="309" ht="15.75" customHeight="1">
      <c r="P309" s="18"/>
      <c r="S309" s="18"/>
    </row>
    <row r="310" ht="15.75" customHeight="1">
      <c r="P310" s="18"/>
      <c r="S310" s="18"/>
    </row>
    <row r="311" ht="15.75" customHeight="1">
      <c r="P311" s="18"/>
      <c r="S311" s="18"/>
    </row>
    <row r="312" ht="15.75" customHeight="1">
      <c r="P312" s="18"/>
      <c r="S312" s="18"/>
    </row>
    <row r="313" ht="15.75" customHeight="1">
      <c r="P313" s="18"/>
      <c r="S313" s="18"/>
    </row>
    <row r="314" ht="15.75" customHeight="1">
      <c r="P314" s="18"/>
      <c r="S314" s="18"/>
    </row>
    <row r="315" ht="15.75" customHeight="1">
      <c r="P315" s="18"/>
      <c r="S315" s="18"/>
    </row>
    <row r="316" ht="15.75" customHeight="1">
      <c r="P316" s="18"/>
      <c r="S316" s="18"/>
    </row>
    <row r="317" ht="15.75" customHeight="1">
      <c r="P317" s="18"/>
      <c r="S317" s="18"/>
    </row>
    <row r="318" ht="15.75" customHeight="1">
      <c r="P318" s="18"/>
      <c r="S318" s="18"/>
    </row>
    <row r="319" ht="15.75" customHeight="1">
      <c r="P319" s="18"/>
      <c r="S319" s="18"/>
    </row>
    <row r="320" ht="15.75" customHeight="1">
      <c r="P320" s="18"/>
      <c r="S320" s="18"/>
    </row>
    <row r="321" ht="15.75" customHeight="1">
      <c r="P321" s="18"/>
      <c r="S321" s="18"/>
    </row>
    <row r="322" ht="15.75" customHeight="1">
      <c r="P322" s="18"/>
      <c r="S322" s="18"/>
    </row>
    <row r="323" ht="15.75" customHeight="1">
      <c r="P323" s="18"/>
      <c r="S323" s="18"/>
    </row>
    <row r="324" ht="15.75" customHeight="1">
      <c r="P324" s="18"/>
      <c r="S324" s="18"/>
    </row>
    <row r="325" ht="15.75" customHeight="1">
      <c r="P325" s="18"/>
      <c r="S325" s="18"/>
    </row>
    <row r="326" ht="15.75" customHeight="1">
      <c r="P326" s="18"/>
      <c r="S326" s="18"/>
    </row>
    <row r="327" ht="15.75" customHeight="1">
      <c r="P327" s="18"/>
      <c r="S327" s="18"/>
    </row>
    <row r="328" ht="15.75" customHeight="1">
      <c r="P328" s="18"/>
      <c r="S328" s="18"/>
    </row>
    <row r="329" ht="15.75" customHeight="1">
      <c r="P329" s="18"/>
      <c r="S329" s="18"/>
    </row>
    <row r="330" ht="15.75" customHeight="1">
      <c r="P330" s="18"/>
      <c r="S330" s="18"/>
    </row>
    <row r="331" ht="15.75" customHeight="1">
      <c r="P331" s="18"/>
      <c r="S331" s="18"/>
    </row>
    <row r="332" ht="15.75" customHeight="1">
      <c r="P332" s="18"/>
      <c r="S332" s="18"/>
    </row>
    <row r="333" ht="15.75" customHeight="1">
      <c r="P333" s="18"/>
      <c r="S333" s="18"/>
    </row>
    <row r="334" ht="15.75" customHeight="1">
      <c r="P334" s="18"/>
      <c r="S334" s="18"/>
    </row>
    <row r="335" ht="15.75" customHeight="1">
      <c r="P335" s="18"/>
      <c r="S335" s="18"/>
    </row>
    <row r="336" ht="15.75" customHeight="1">
      <c r="P336" s="18"/>
      <c r="S336" s="18"/>
    </row>
    <row r="337" ht="15.75" customHeight="1">
      <c r="P337" s="18"/>
      <c r="S337" s="18"/>
    </row>
    <row r="338" ht="15.75" customHeight="1">
      <c r="P338" s="18"/>
      <c r="S338" s="18"/>
    </row>
    <row r="339" ht="15.75" customHeight="1">
      <c r="P339" s="18"/>
      <c r="S339" s="18"/>
    </row>
    <row r="340" ht="15.75" customHeight="1">
      <c r="P340" s="18"/>
      <c r="S340" s="18"/>
    </row>
    <row r="341" ht="15.75" customHeight="1">
      <c r="P341" s="18"/>
      <c r="S341" s="18"/>
    </row>
    <row r="342" ht="15.75" customHeight="1">
      <c r="P342" s="18"/>
      <c r="S342" s="18"/>
    </row>
    <row r="343" ht="15.75" customHeight="1">
      <c r="P343" s="18"/>
      <c r="S343" s="18"/>
    </row>
    <row r="344" ht="15.75" customHeight="1">
      <c r="P344" s="18"/>
      <c r="S344" s="18"/>
    </row>
    <row r="345" ht="15.75" customHeight="1">
      <c r="P345" s="18"/>
      <c r="S345" s="18"/>
    </row>
    <row r="346" ht="15.75" customHeight="1">
      <c r="P346" s="18"/>
      <c r="S346" s="18"/>
    </row>
    <row r="347" ht="15.75" customHeight="1">
      <c r="P347" s="18"/>
      <c r="S347" s="18"/>
    </row>
    <row r="348" ht="15.75" customHeight="1">
      <c r="P348" s="18"/>
      <c r="S348" s="18"/>
    </row>
    <row r="349" ht="15.75" customHeight="1">
      <c r="P349" s="18"/>
      <c r="S349" s="18"/>
    </row>
    <row r="350" ht="15.75" customHeight="1">
      <c r="P350" s="18"/>
      <c r="S350" s="18"/>
    </row>
    <row r="351" ht="15.75" customHeight="1">
      <c r="P351" s="18"/>
      <c r="S351" s="18"/>
    </row>
    <row r="352" ht="15.75" customHeight="1">
      <c r="P352" s="18"/>
      <c r="S352" s="18"/>
    </row>
    <row r="353" ht="15.75" customHeight="1">
      <c r="P353" s="18"/>
      <c r="S353" s="18"/>
    </row>
    <row r="354" ht="15.75" customHeight="1">
      <c r="P354" s="18"/>
      <c r="S354" s="18"/>
    </row>
    <row r="355" ht="15.75" customHeight="1">
      <c r="P355" s="18"/>
      <c r="S355" s="18"/>
    </row>
    <row r="356" ht="15.75" customHeight="1">
      <c r="P356" s="18"/>
      <c r="S356" s="18"/>
    </row>
    <row r="357" ht="15.75" customHeight="1">
      <c r="P357" s="18"/>
      <c r="S357" s="18"/>
    </row>
    <row r="358" ht="15.75" customHeight="1">
      <c r="P358" s="18"/>
      <c r="S358" s="18"/>
    </row>
    <row r="359" ht="15.75" customHeight="1">
      <c r="P359" s="18"/>
      <c r="S359" s="18"/>
    </row>
    <row r="360" ht="15.75" customHeight="1">
      <c r="P360" s="18"/>
      <c r="S360" s="18"/>
    </row>
    <row r="361" ht="15.75" customHeight="1">
      <c r="P361" s="18"/>
      <c r="S361" s="18"/>
    </row>
    <row r="362" ht="15.75" customHeight="1">
      <c r="P362" s="18"/>
      <c r="S362" s="18"/>
    </row>
    <row r="363" ht="15.75" customHeight="1">
      <c r="P363" s="18"/>
      <c r="S363" s="18"/>
    </row>
    <row r="364" ht="15.75" customHeight="1">
      <c r="P364" s="18"/>
      <c r="S364" s="18"/>
    </row>
    <row r="365" ht="15.75" customHeight="1">
      <c r="P365" s="18"/>
      <c r="S365" s="18"/>
    </row>
    <row r="366" ht="15.75" customHeight="1">
      <c r="P366" s="18"/>
      <c r="S366" s="18"/>
    </row>
    <row r="367" ht="15.75" customHeight="1">
      <c r="P367" s="18"/>
      <c r="S367" s="18"/>
    </row>
    <row r="368" ht="15.75" customHeight="1">
      <c r="P368" s="18"/>
      <c r="S368" s="18"/>
    </row>
    <row r="369" ht="15.75" customHeight="1">
      <c r="P369" s="18"/>
      <c r="S369" s="18"/>
    </row>
    <row r="370" ht="15.75" customHeight="1">
      <c r="P370" s="18"/>
      <c r="S370" s="18"/>
    </row>
    <row r="371" ht="15.75" customHeight="1">
      <c r="P371" s="18"/>
      <c r="S371" s="18"/>
    </row>
    <row r="372" ht="15.75" customHeight="1">
      <c r="P372" s="18"/>
      <c r="S372" s="18"/>
    </row>
    <row r="373" ht="15.75" customHeight="1">
      <c r="P373" s="18"/>
      <c r="S373" s="18"/>
    </row>
    <row r="374" ht="15.75" customHeight="1">
      <c r="P374" s="18"/>
      <c r="S374" s="18"/>
    </row>
    <row r="375" ht="15.75" customHeight="1">
      <c r="P375" s="18"/>
      <c r="S375" s="18"/>
    </row>
    <row r="376" ht="15.75" customHeight="1">
      <c r="P376" s="18"/>
      <c r="S376" s="18"/>
    </row>
    <row r="377" ht="15.75" customHeight="1">
      <c r="P377" s="18"/>
      <c r="S377" s="18"/>
    </row>
    <row r="378" ht="15.75" customHeight="1">
      <c r="P378" s="18"/>
      <c r="S378" s="18"/>
    </row>
    <row r="379" ht="15.75" customHeight="1">
      <c r="P379" s="18"/>
      <c r="S379" s="18"/>
    </row>
    <row r="380" ht="15.75" customHeight="1">
      <c r="P380" s="18"/>
      <c r="S380" s="18"/>
    </row>
    <row r="381" ht="15.75" customHeight="1">
      <c r="P381" s="18"/>
      <c r="S381" s="18"/>
    </row>
    <row r="382" ht="15.75" customHeight="1">
      <c r="P382" s="18"/>
      <c r="S382" s="18"/>
    </row>
    <row r="383" ht="15.75" customHeight="1">
      <c r="P383" s="18"/>
      <c r="S383" s="18"/>
    </row>
    <row r="384" ht="15.75" customHeight="1">
      <c r="P384" s="18"/>
      <c r="S384" s="18"/>
    </row>
    <row r="385" ht="15.75" customHeight="1">
      <c r="P385" s="18"/>
      <c r="S385" s="18"/>
    </row>
    <row r="386" ht="15.75" customHeight="1">
      <c r="P386" s="18"/>
      <c r="S386" s="18"/>
    </row>
    <row r="387" ht="15.75" customHeight="1">
      <c r="P387" s="18"/>
      <c r="S387" s="18"/>
    </row>
    <row r="388" ht="15.75" customHeight="1">
      <c r="P388" s="18"/>
      <c r="S388" s="18"/>
    </row>
    <row r="389" ht="15.75" customHeight="1">
      <c r="P389" s="18"/>
      <c r="S389" s="18"/>
    </row>
    <row r="390" ht="15.75" customHeight="1">
      <c r="P390" s="18"/>
      <c r="S390" s="18"/>
    </row>
    <row r="391" ht="15.75" customHeight="1">
      <c r="P391" s="18"/>
      <c r="S391" s="18"/>
    </row>
    <row r="392" ht="15.75" customHeight="1">
      <c r="P392" s="18"/>
      <c r="S392" s="18"/>
    </row>
    <row r="393" ht="15.75" customHeight="1">
      <c r="P393" s="18"/>
      <c r="S393" s="18"/>
    </row>
    <row r="394" ht="15.75" customHeight="1">
      <c r="P394" s="18"/>
      <c r="S394" s="18"/>
    </row>
    <row r="395" ht="15.75" customHeight="1">
      <c r="P395" s="18"/>
      <c r="S395" s="18"/>
    </row>
    <row r="396" ht="15.75" customHeight="1">
      <c r="P396" s="18"/>
      <c r="S396" s="18"/>
    </row>
    <row r="397" ht="15.75" customHeight="1">
      <c r="P397" s="18"/>
      <c r="S397" s="18"/>
    </row>
    <row r="398" ht="15.75" customHeight="1">
      <c r="P398" s="18"/>
      <c r="S398" s="18"/>
    </row>
    <row r="399" ht="15.75" customHeight="1">
      <c r="P399" s="18"/>
      <c r="S399" s="18"/>
    </row>
    <row r="400" ht="15.75" customHeight="1">
      <c r="P400" s="18"/>
      <c r="S400" s="18"/>
    </row>
    <row r="401" ht="15.75" customHeight="1">
      <c r="P401" s="18"/>
      <c r="S401" s="18"/>
    </row>
    <row r="402" ht="15.75" customHeight="1">
      <c r="P402" s="18"/>
      <c r="S402" s="18"/>
    </row>
    <row r="403" ht="15.75" customHeight="1">
      <c r="P403" s="18"/>
      <c r="S403" s="18"/>
    </row>
    <row r="404" ht="15.75" customHeight="1">
      <c r="P404" s="18"/>
      <c r="S404" s="18"/>
    </row>
    <row r="405" ht="15.75" customHeight="1">
      <c r="P405" s="18"/>
      <c r="S405" s="18"/>
    </row>
    <row r="406" ht="15.75" customHeight="1">
      <c r="P406" s="18"/>
      <c r="S406" s="18"/>
    </row>
    <row r="407" ht="15.75" customHeight="1">
      <c r="P407" s="18"/>
      <c r="S407" s="18"/>
    </row>
    <row r="408" ht="15.75" customHeight="1">
      <c r="P408" s="18"/>
      <c r="S408" s="18"/>
    </row>
    <row r="409" ht="15.75" customHeight="1">
      <c r="P409" s="18"/>
      <c r="S409" s="18"/>
    </row>
    <row r="410" ht="15.75" customHeight="1">
      <c r="P410" s="18"/>
      <c r="S410" s="18"/>
    </row>
    <row r="411" ht="15.75" customHeight="1">
      <c r="P411" s="18"/>
      <c r="S411" s="18"/>
    </row>
    <row r="412" ht="15.75" customHeight="1">
      <c r="P412" s="18"/>
      <c r="S412" s="18"/>
    </row>
    <row r="413" ht="15.75" customHeight="1">
      <c r="P413" s="18"/>
      <c r="S413" s="18"/>
    </row>
    <row r="414" ht="15.75" customHeight="1">
      <c r="P414" s="18"/>
      <c r="S414" s="18"/>
    </row>
    <row r="415" ht="15.75" customHeight="1">
      <c r="P415" s="18"/>
      <c r="S415" s="18"/>
    </row>
    <row r="416" ht="15.75" customHeight="1">
      <c r="P416" s="18"/>
      <c r="S416" s="18"/>
    </row>
    <row r="417" ht="15.75" customHeight="1">
      <c r="P417" s="18"/>
      <c r="S417" s="18"/>
    </row>
    <row r="418" ht="15.75" customHeight="1">
      <c r="P418" s="18"/>
      <c r="S418" s="18"/>
    </row>
    <row r="419" ht="15.75" customHeight="1">
      <c r="P419" s="18"/>
      <c r="S419" s="18"/>
    </row>
    <row r="420" ht="15.75" customHeight="1">
      <c r="P420" s="18"/>
      <c r="S420" s="18"/>
    </row>
    <row r="421" ht="15.75" customHeight="1">
      <c r="P421" s="18"/>
      <c r="S421" s="18"/>
    </row>
    <row r="422" ht="15.75" customHeight="1">
      <c r="P422" s="18"/>
      <c r="S422" s="18"/>
    </row>
    <row r="423" ht="15.75" customHeight="1">
      <c r="P423" s="18"/>
      <c r="S423" s="18"/>
    </row>
    <row r="424" ht="15.75" customHeight="1">
      <c r="P424" s="18"/>
      <c r="S424" s="18"/>
    </row>
    <row r="425" ht="15.75" customHeight="1">
      <c r="P425" s="18"/>
      <c r="S425" s="18"/>
    </row>
    <row r="426" ht="15.75" customHeight="1">
      <c r="P426" s="18"/>
      <c r="S426" s="18"/>
    </row>
    <row r="427" ht="15.75" customHeight="1">
      <c r="P427" s="18"/>
      <c r="S427" s="18"/>
    </row>
    <row r="428" ht="15.75" customHeight="1">
      <c r="P428" s="18"/>
      <c r="S428" s="18"/>
    </row>
    <row r="429" ht="15.75" customHeight="1">
      <c r="P429" s="18"/>
      <c r="S429" s="18"/>
    </row>
    <row r="430" ht="15.75" customHeight="1">
      <c r="P430" s="18"/>
      <c r="S430" s="18"/>
    </row>
    <row r="431" ht="15.75" customHeight="1">
      <c r="P431" s="18"/>
      <c r="S431" s="18"/>
    </row>
    <row r="432" ht="15.75" customHeight="1">
      <c r="P432" s="18"/>
      <c r="S432" s="18"/>
    </row>
    <row r="433" ht="15.75" customHeight="1">
      <c r="P433" s="18"/>
      <c r="S433" s="18"/>
    </row>
    <row r="434" ht="15.75" customHeight="1">
      <c r="P434" s="18"/>
      <c r="S434" s="18"/>
    </row>
    <row r="435" ht="15.75" customHeight="1">
      <c r="P435" s="18"/>
      <c r="S435" s="18"/>
    </row>
    <row r="436" ht="15.75" customHeight="1">
      <c r="P436" s="18"/>
      <c r="S436" s="18"/>
    </row>
    <row r="437" ht="15.75" customHeight="1">
      <c r="P437" s="18"/>
      <c r="S437" s="18"/>
    </row>
    <row r="438" ht="15.75" customHeight="1">
      <c r="P438" s="18"/>
      <c r="S438" s="18"/>
    </row>
    <row r="439" ht="15.75" customHeight="1">
      <c r="P439" s="18"/>
      <c r="S439" s="18"/>
    </row>
    <row r="440" ht="15.75" customHeight="1">
      <c r="P440" s="18"/>
      <c r="S440" s="18"/>
    </row>
    <row r="441" ht="15.75" customHeight="1">
      <c r="P441" s="18"/>
      <c r="S441" s="18"/>
    </row>
    <row r="442" ht="15.75" customHeight="1">
      <c r="P442" s="18"/>
      <c r="S442" s="18"/>
    </row>
    <row r="443" ht="15.75" customHeight="1">
      <c r="P443" s="18"/>
      <c r="S443" s="18"/>
    </row>
    <row r="444" ht="15.75" customHeight="1">
      <c r="P444" s="18"/>
      <c r="S444" s="18"/>
    </row>
    <row r="445" ht="15.75" customHeight="1">
      <c r="P445" s="18"/>
      <c r="S445" s="18"/>
    </row>
    <row r="446" ht="15.75" customHeight="1">
      <c r="P446" s="18"/>
      <c r="S446" s="18"/>
    </row>
    <row r="447" ht="15.75" customHeight="1">
      <c r="P447" s="18"/>
      <c r="S447" s="18"/>
    </row>
    <row r="448" ht="15.75" customHeight="1">
      <c r="P448" s="18"/>
      <c r="S448" s="18"/>
    </row>
    <row r="449" ht="15.75" customHeight="1">
      <c r="P449" s="18"/>
      <c r="S449" s="18"/>
    </row>
    <row r="450" ht="15.75" customHeight="1">
      <c r="P450" s="18"/>
      <c r="S450" s="18"/>
    </row>
    <row r="451" ht="15.75" customHeight="1">
      <c r="P451" s="18"/>
      <c r="S451" s="18"/>
    </row>
    <row r="452" ht="15.75" customHeight="1">
      <c r="P452" s="18"/>
      <c r="S452" s="18"/>
    </row>
    <row r="453" ht="15.75" customHeight="1">
      <c r="P453" s="18"/>
      <c r="S453" s="18"/>
    </row>
    <row r="454" ht="15.75" customHeight="1">
      <c r="P454" s="18"/>
      <c r="S454" s="18"/>
    </row>
    <row r="455" ht="15.75" customHeight="1">
      <c r="P455" s="18"/>
      <c r="S455" s="18"/>
    </row>
    <row r="456" ht="15.75" customHeight="1">
      <c r="P456" s="18"/>
      <c r="S456" s="18"/>
    </row>
    <row r="457" ht="15.75" customHeight="1">
      <c r="P457" s="18"/>
      <c r="S457" s="18"/>
    </row>
    <row r="458" ht="15.75" customHeight="1">
      <c r="P458" s="18"/>
      <c r="S458" s="18"/>
    </row>
    <row r="459" ht="15.75" customHeight="1">
      <c r="P459" s="18"/>
      <c r="S459" s="18"/>
    </row>
    <row r="460" ht="15.75" customHeight="1">
      <c r="P460" s="18"/>
      <c r="S460" s="18"/>
    </row>
    <row r="461" ht="15.75" customHeight="1">
      <c r="P461" s="18"/>
      <c r="S461" s="18"/>
    </row>
    <row r="462" ht="15.75" customHeight="1">
      <c r="P462" s="18"/>
      <c r="S462" s="18"/>
    </row>
    <row r="463" ht="15.75" customHeight="1">
      <c r="P463" s="18"/>
      <c r="S463" s="18"/>
    </row>
    <row r="464" ht="15.75" customHeight="1">
      <c r="P464" s="18"/>
      <c r="S464" s="18"/>
    </row>
    <row r="465" ht="15.75" customHeight="1">
      <c r="P465" s="18"/>
      <c r="S465" s="18"/>
    </row>
    <row r="466" ht="15.75" customHeight="1">
      <c r="P466" s="18"/>
      <c r="S466" s="18"/>
    </row>
    <row r="467" ht="15.75" customHeight="1">
      <c r="P467" s="18"/>
      <c r="S467" s="18"/>
    </row>
    <row r="468" ht="15.75" customHeight="1">
      <c r="P468" s="18"/>
      <c r="S468" s="18"/>
    </row>
    <row r="469" ht="15.75" customHeight="1">
      <c r="P469" s="18"/>
      <c r="S469" s="18"/>
    </row>
    <row r="470" ht="15.75" customHeight="1">
      <c r="P470" s="18"/>
      <c r="S470" s="18"/>
    </row>
    <row r="471" ht="15.75" customHeight="1">
      <c r="P471" s="18"/>
      <c r="S471" s="18"/>
    </row>
    <row r="472" ht="15.75" customHeight="1">
      <c r="P472" s="18"/>
      <c r="S472" s="18"/>
    </row>
    <row r="473" ht="15.75" customHeight="1">
      <c r="P473" s="18"/>
      <c r="S473" s="18"/>
    </row>
    <row r="474" ht="15.75" customHeight="1">
      <c r="P474" s="18"/>
      <c r="S474" s="18"/>
    </row>
    <row r="475" ht="15.75" customHeight="1">
      <c r="P475" s="18"/>
      <c r="S475" s="18"/>
    </row>
    <row r="476" ht="15.75" customHeight="1">
      <c r="P476" s="18"/>
      <c r="S476" s="18"/>
    </row>
    <row r="477" ht="15.75" customHeight="1">
      <c r="P477" s="18"/>
      <c r="S477" s="18"/>
    </row>
    <row r="478" ht="15.75" customHeight="1">
      <c r="P478" s="18"/>
      <c r="S478" s="18"/>
    </row>
    <row r="479" ht="15.75" customHeight="1">
      <c r="P479" s="18"/>
      <c r="S479" s="18"/>
    </row>
    <row r="480" ht="15.75" customHeight="1">
      <c r="P480" s="18"/>
      <c r="S480" s="18"/>
    </row>
    <row r="481" ht="15.75" customHeight="1">
      <c r="P481" s="18"/>
      <c r="S481" s="18"/>
    </row>
    <row r="482" ht="15.75" customHeight="1">
      <c r="P482" s="18"/>
      <c r="S482" s="18"/>
    </row>
    <row r="483" ht="15.75" customHeight="1">
      <c r="P483" s="18"/>
      <c r="S483" s="18"/>
    </row>
    <row r="484" ht="15.75" customHeight="1">
      <c r="P484" s="18"/>
      <c r="S484" s="18"/>
    </row>
    <row r="485" ht="15.75" customHeight="1">
      <c r="P485" s="18"/>
      <c r="S485" s="18"/>
    </row>
    <row r="486" ht="15.75" customHeight="1">
      <c r="P486" s="18"/>
      <c r="S486" s="18"/>
    </row>
    <row r="487" ht="15.75" customHeight="1">
      <c r="P487" s="18"/>
      <c r="S487" s="18"/>
    </row>
    <row r="488" ht="15.75" customHeight="1">
      <c r="P488" s="18"/>
      <c r="S488" s="18"/>
    </row>
    <row r="489" ht="15.75" customHeight="1">
      <c r="P489" s="18"/>
      <c r="S489" s="18"/>
    </row>
    <row r="490" ht="15.75" customHeight="1">
      <c r="P490" s="18"/>
      <c r="S490" s="18"/>
    </row>
    <row r="491" ht="15.75" customHeight="1">
      <c r="P491" s="18"/>
      <c r="S491" s="18"/>
    </row>
    <row r="492" ht="15.75" customHeight="1">
      <c r="P492" s="18"/>
      <c r="S492" s="18"/>
    </row>
    <row r="493" ht="15.75" customHeight="1">
      <c r="P493" s="18"/>
      <c r="S493" s="18"/>
    </row>
    <row r="494" ht="15.75" customHeight="1">
      <c r="P494" s="18"/>
      <c r="S494" s="18"/>
    </row>
    <row r="495" ht="15.75" customHeight="1">
      <c r="P495" s="18"/>
      <c r="S495" s="18"/>
    </row>
    <row r="496" ht="15.75" customHeight="1">
      <c r="P496" s="18"/>
      <c r="S496" s="18"/>
    </row>
    <row r="497" ht="15.75" customHeight="1">
      <c r="P497" s="18"/>
      <c r="S497" s="18"/>
    </row>
    <row r="498" ht="15.75" customHeight="1">
      <c r="P498" s="18"/>
      <c r="S498" s="18"/>
    </row>
    <row r="499" ht="15.75" customHeight="1">
      <c r="P499" s="18"/>
      <c r="S499" s="18"/>
    </row>
    <row r="500" ht="15.75" customHeight="1">
      <c r="P500" s="18"/>
      <c r="S500" s="18"/>
    </row>
    <row r="501" ht="15.75" customHeight="1">
      <c r="P501" s="18"/>
      <c r="S501" s="18"/>
    </row>
    <row r="502" ht="15.75" customHeight="1">
      <c r="P502" s="18"/>
      <c r="S502" s="18"/>
    </row>
    <row r="503" ht="15.75" customHeight="1">
      <c r="P503" s="18"/>
      <c r="S503" s="18"/>
    </row>
    <row r="504" ht="15.75" customHeight="1">
      <c r="P504" s="18"/>
      <c r="S504" s="18"/>
    </row>
    <row r="505" ht="15.75" customHeight="1">
      <c r="P505" s="18"/>
      <c r="S505" s="18"/>
    </row>
    <row r="506" ht="15.75" customHeight="1">
      <c r="P506" s="18"/>
      <c r="S506" s="18"/>
    </row>
    <row r="507" ht="15.75" customHeight="1">
      <c r="P507" s="18"/>
      <c r="S507" s="18"/>
    </row>
    <row r="508" ht="15.75" customHeight="1">
      <c r="P508" s="18"/>
      <c r="S508" s="18"/>
    </row>
    <row r="509" ht="15.75" customHeight="1">
      <c r="P509" s="18"/>
      <c r="S509" s="18"/>
    </row>
    <row r="510" ht="15.75" customHeight="1">
      <c r="P510" s="18"/>
      <c r="S510" s="18"/>
    </row>
    <row r="511" ht="15.75" customHeight="1">
      <c r="P511" s="18"/>
      <c r="S511" s="18"/>
    </row>
    <row r="512" ht="15.75" customHeight="1">
      <c r="P512" s="18"/>
      <c r="S512" s="18"/>
    </row>
    <row r="513" ht="15.75" customHeight="1">
      <c r="P513" s="18"/>
      <c r="S513" s="18"/>
    </row>
    <row r="514" ht="15.75" customHeight="1">
      <c r="P514" s="18"/>
      <c r="S514" s="18"/>
    </row>
    <row r="515" ht="15.75" customHeight="1">
      <c r="P515" s="18"/>
      <c r="S515" s="18"/>
    </row>
    <row r="516" ht="15.75" customHeight="1">
      <c r="P516" s="18"/>
      <c r="S516" s="18"/>
    </row>
    <row r="517" ht="15.75" customHeight="1">
      <c r="P517" s="18"/>
      <c r="S517" s="18"/>
    </row>
    <row r="518" ht="15.75" customHeight="1">
      <c r="P518" s="18"/>
      <c r="S518" s="18"/>
    </row>
    <row r="519" ht="15.75" customHeight="1">
      <c r="P519" s="18"/>
      <c r="S519" s="18"/>
    </row>
    <row r="520" ht="15.75" customHeight="1">
      <c r="P520" s="18"/>
      <c r="S520" s="18"/>
    </row>
    <row r="521" ht="15.75" customHeight="1">
      <c r="P521" s="18"/>
      <c r="S521" s="18"/>
    </row>
    <row r="522" ht="15.75" customHeight="1">
      <c r="P522" s="18"/>
      <c r="S522" s="18"/>
    </row>
    <row r="523" ht="15.75" customHeight="1">
      <c r="P523" s="18"/>
      <c r="S523" s="18"/>
    </row>
    <row r="524" ht="15.75" customHeight="1">
      <c r="P524" s="18"/>
      <c r="S524" s="18"/>
    </row>
    <row r="525" ht="15.75" customHeight="1">
      <c r="P525" s="18"/>
      <c r="S525" s="18"/>
    </row>
    <row r="526" ht="15.75" customHeight="1">
      <c r="P526" s="18"/>
      <c r="S526" s="18"/>
    </row>
    <row r="527" ht="15.75" customHeight="1">
      <c r="P527" s="18"/>
      <c r="S527" s="18"/>
    </row>
    <row r="528" ht="15.75" customHeight="1">
      <c r="P528" s="18"/>
      <c r="S528" s="18"/>
    </row>
    <row r="529" ht="15.75" customHeight="1">
      <c r="P529" s="18"/>
      <c r="S529" s="18"/>
    </row>
    <row r="530" ht="15.75" customHeight="1">
      <c r="P530" s="18"/>
      <c r="S530" s="18"/>
    </row>
    <row r="531" ht="15.75" customHeight="1">
      <c r="P531" s="18"/>
      <c r="S531" s="18"/>
    </row>
    <row r="532" ht="15.75" customHeight="1">
      <c r="P532" s="18"/>
      <c r="S532" s="18"/>
    </row>
    <row r="533" ht="15.75" customHeight="1">
      <c r="P533" s="18"/>
      <c r="S533" s="18"/>
    </row>
    <row r="534" ht="15.75" customHeight="1">
      <c r="P534" s="18"/>
      <c r="S534" s="18"/>
    </row>
    <row r="535" ht="15.75" customHeight="1">
      <c r="P535" s="18"/>
      <c r="S535" s="18"/>
    </row>
    <row r="536" ht="15.75" customHeight="1">
      <c r="P536" s="18"/>
      <c r="S536" s="18"/>
    </row>
    <row r="537" ht="15.75" customHeight="1">
      <c r="P537" s="18"/>
      <c r="S537" s="18"/>
    </row>
    <row r="538" ht="15.75" customHeight="1">
      <c r="P538" s="18"/>
      <c r="S538" s="18"/>
    </row>
    <row r="539" ht="15.75" customHeight="1">
      <c r="P539" s="18"/>
      <c r="S539" s="18"/>
    </row>
    <row r="540" ht="15.75" customHeight="1">
      <c r="P540" s="18"/>
      <c r="S540" s="18"/>
    </row>
    <row r="541" ht="15.75" customHeight="1">
      <c r="P541" s="18"/>
      <c r="S541" s="18"/>
    </row>
    <row r="542" ht="15.75" customHeight="1">
      <c r="P542" s="18"/>
      <c r="S542" s="18"/>
    </row>
    <row r="543" ht="15.75" customHeight="1">
      <c r="P543" s="18"/>
      <c r="S543" s="18"/>
    </row>
    <row r="544" ht="15.75" customHeight="1">
      <c r="P544" s="18"/>
      <c r="S544" s="18"/>
    </row>
    <row r="545" ht="15.75" customHeight="1">
      <c r="P545" s="18"/>
      <c r="S545" s="18"/>
    </row>
    <row r="546" ht="15.75" customHeight="1">
      <c r="P546" s="18"/>
      <c r="S546" s="18"/>
    </row>
    <row r="547" ht="15.75" customHeight="1">
      <c r="P547" s="18"/>
      <c r="S547" s="18"/>
    </row>
    <row r="548" ht="15.75" customHeight="1">
      <c r="P548" s="18"/>
      <c r="S548" s="18"/>
    </row>
    <row r="549" ht="15.75" customHeight="1">
      <c r="P549" s="18"/>
      <c r="S549" s="18"/>
    </row>
    <row r="550" ht="15.75" customHeight="1">
      <c r="P550" s="18"/>
      <c r="S550" s="18"/>
    </row>
    <row r="551" ht="15.75" customHeight="1">
      <c r="P551" s="18"/>
      <c r="S551" s="18"/>
    </row>
    <row r="552" ht="15.75" customHeight="1">
      <c r="P552" s="18"/>
      <c r="S552" s="18"/>
    </row>
    <row r="553" ht="15.75" customHeight="1">
      <c r="P553" s="18"/>
      <c r="S553" s="18"/>
    </row>
    <row r="554" ht="15.75" customHeight="1">
      <c r="P554" s="18"/>
      <c r="S554" s="18"/>
    </row>
    <row r="555" ht="15.75" customHeight="1">
      <c r="P555" s="18"/>
      <c r="S555" s="18"/>
    </row>
    <row r="556" ht="15.75" customHeight="1">
      <c r="P556" s="18"/>
      <c r="S556" s="18"/>
    </row>
    <row r="557" ht="15.75" customHeight="1">
      <c r="P557" s="18"/>
      <c r="S557" s="18"/>
    </row>
    <row r="558" ht="15.75" customHeight="1">
      <c r="P558" s="18"/>
      <c r="S558" s="18"/>
    </row>
    <row r="559" ht="15.75" customHeight="1">
      <c r="P559" s="18"/>
      <c r="S559" s="18"/>
    </row>
    <row r="560" ht="15.75" customHeight="1">
      <c r="P560" s="18"/>
      <c r="S560" s="18"/>
    </row>
    <row r="561" ht="15.75" customHeight="1">
      <c r="P561" s="18"/>
      <c r="S561" s="18"/>
    </row>
    <row r="562" ht="15.75" customHeight="1">
      <c r="P562" s="18"/>
      <c r="S562" s="18"/>
    </row>
    <row r="563" ht="15.75" customHeight="1">
      <c r="P563" s="18"/>
      <c r="S563" s="18"/>
    </row>
    <row r="564" ht="15.75" customHeight="1">
      <c r="P564" s="18"/>
      <c r="S564" s="18"/>
    </row>
    <row r="565" ht="15.75" customHeight="1">
      <c r="P565" s="18"/>
      <c r="S565" s="18"/>
    </row>
    <row r="566" ht="15.75" customHeight="1">
      <c r="P566" s="18"/>
      <c r="S566" s="18"/>
    </row>
    <row r="567" ht="15.75" customHeight="1">
      <c r="P567" s="18"/>
      <c r="S567" s="18"/>
    </row>
    <row r="568" ht="15.75" customHeight="1">
      <c r="P568" s="18"/>
      <c r="S568" s="18"/>
    </row>
    <row r="569" ht="15.75" customHeight="1">
      <c r="P569" s="18"/>
      <c r="S569" s="18"/>
    </row>
    <row r="570" ht="15.75" customHeight="1">
      <c r="P570" s="18"/>
      <c r="S570" s="18"/>
    </row>
    <row r="571" ht="15.75" customHeight="1">
      <c r="P571" s="18"/>
      <c r="S571" s="18"/>
    </row>
    <row r="572" ht="15.75" customHeight="1">
      <c r="P572" s="18"/>
      <c r="S572" s="18"/>
    </row>
    <row r="573" ht="15.75" customHeight="1">
      <c r="P573" s="18"/>
      <c r="S573" s="18"/>
    </row>
    <row r="574" ht="15.75" customHeight="1">
      <c r="P574" s="18"/>
      <c r="S574" s="18"/>
    </row>
    <row r="575" ht="15.75" customHeight="1">
      <c r="P575" s="18"/>
      <c r="S575" s="18"/>
    </row>
    <row r="576" ht="15.75" customHeight="1">
      <c r="P576" s="18"/>
      <c r="S576" s="18"/>
    </row>
    <row r="577" ht="15.75" customHeight="1">
      <c r="P577" s="18"/>
      <c r="S577" s="18"/>
    </row>
    <row r="578" ht="15.75" customHeight="1">
      <c r="P578" s="18"/>
      <c r="S578" s="18"/>
    </row>
    <row r="579" ht="15.75" customHeight="1">
      <c r="P579" s="18"/>
      <c r="S579" s="18"/>
    </row>
    <row r="580" ht="15.75" customHeight="1">
      <c r="P580" s="18"/>
      <c r="S580" s="18"/>
    </row>
    <row r="581" ht="15.75" customHeight="1">
      <c r="P581" s="18"/>
      <c r="S581" s="18"/>
    </row>
    <row r="582" ht="15.75" customHeight="1">
      <c r="P582" s="18"/>
      <c r="S582" s="18"/>
    </row>
    <row r="583" ht="15.75" customHeight="1">
      <c r="P583" s="18"/>
      <c r="S583" s="18"/>
    </row>
    <row r="584" ht="15.75" customHeight="1">
      <c r="P584" s="18"/>
      <c r="S584" s="18"/>
    </row>
    <row r="585" ht="15.75" customHeight="1">
      <c r="P585" s="18"/>
      <c r="S585" s="18"/>
    </row>
    <row r="586" ht="15.75" customHeight="1">
      <c r="P586" s="18"/>
      <c r="S586" s="18"/>
    </row>
    <row r="587" ht="15.75" customHeight="1">
      <c r="P587" s="18"/>
      <c r="S587" s="18"/>
    </row>
    <row r="588" ht="15.75" customHeight="1">
      <c r="P588" s="18"/>
      <c r="S588" s="18"/>
    </row>
    <row r="589" ht="15.75" customHeight="1">
      <c r="P589" s="18"/>
      <c r="S589" s="18"/>
    </row>
    <row r="590" ht="15.75" customHeight="1">
      <c r="P590" s="18"/>
      <c r="S590" s="18"/>
    </row>
    <row r="591" ht="15.75" customHeight="1">
      <c r="P591" s="18"/>
      <c r="S591" s="18"/>
    </row>
    <row r="592" ht="15.75" customHeight="1">
      <c r="P592" s="18"/>
      <c r="S592" s="18"/>
    </row>
    <row r="593" ht="15.75" customHeight="1">
      <c r="P593" s="18"/>
      <c r="S593" s="18"/>
    </row>
    <row r="594" ht="15.75" customHeight="1">
      <c r="P594" s="18"/>
      <c r="S594" s="18"/>
    </row>
    <row r="595" ht="15.75" customHeight="1">
      <c r="P595" s="18"/>
      <c r="S595" s="18"/>
    </row>
    <row r="596" ht="15.75" customHeight="1">
      <c r="P596" s="18"/>
      <c r="S596" s="18"/>
    </row>
    <row r="597" ht="15.75" customHeight="1">
      <c r="P597" s="18"/>
      <c r="S597" s="18"/>
    </row>
    <row r="598" ht="15.75" customHeight="1">
      <c r="P598" s="18"/>
      <c r="S598" s="18"/>
    </row>
    <row r="599" ht="15.75" customHeight="1">
      <c r="P599" s="18"/>
      <c r="S599" s="18"/>
    </row>
    <row r="600" ht="15.75" customHeight="1">
      <c r="P600" s="18"/>
      <c r="S600" s="18"/>
    </row>
    <row r="601" ht="15.75" customHeight="1">
      <c r="P601" s="18"/>
      <c r="S601" s="18"/>
    </row>
    <row r="602" ht="15.75" customHeight="1">
      <c r="P602" s="18"/>
      <c r="S602" s="18"/>
    </row>
    <row r="603" ht="15.75" customHeight="1">
      <c r="P603" s="18"/>
      <c r="S603" s="18"/>
    </row>
    <row r="604" ht="15.75" customHeight="1">
      <c r="P604" s="18"/>
      <c r="S604" s="18"/>
    </row>
    <row r="605" ht="15.75" customHeight="1">
      <c r="P605" s="18"/>
      <c r="S605" s="18"/>
    </row>
    <row r="606" ht="15.75" customHeight="1">
      <c r="P606" s="18"/>
      <c r="S606" s="18"/>
    </row>
    <row r="607" ht="15.75" customHeight="1">
      <c r="P607" s="18"/>
      <c r="S607" s="18"/>
    </row>
    <row r="608" ht="15.75" customHeight="1">
      <c r="P608" s="18"/>
      <c r="S608" s="18"/>
    </row>
    <row r="609" ht="15.75" customHeight="1">
      <c r="P609" s="18"/>
      <c r="S609" s="18"/>
    </row>
    <row r="610" ht="15.75" customHeight="1">
      <c r="P610" s="18"/>
      <c r="S610" s="18"/>
    </row>
    <row r="611" ht="15.75" customHeight="1">
      <c r="P611" s="18"/>
      <c r="S611" s="18"/>
    </row>
    <row r="612" ht="15.75" customHeight="1">
      <c r="P612" s="18"/>
      <c r="S612" s="18"/>
    </row>
    <row r="613" ht="15.75" customHeight="1">
      <c r="P613" s="18"/>
      <c r="S613" s="18"/>
    </row>
    <row r="614" ht="15.75" customHeight="1">
      <c r="P614" s="18"/>
      <c r="S614" s="18"/>
    </row>
    <row r="615" ht="15.75" customHeight="1">
      <c r="P615" s="18"/>
      <c r="S615" s="18"/>
    </row>
    <row r="616" ht="15.75" customHeight="1">
      <c r="P616" s="18"/>
      <c r="S616" s="18"/>
    </row>
    <row r="617" ht="15.75" customHeight="1">
      <c r="P617" s="18"/>
      <c r="S617" s="18"/>
    </row>
    <row r="618" ht="15.75" customHeight="1">
      <c r="P618" s="18"/>
      <c r="S618" s="18"/>
    </row>
    <row r="619" ht="15.75" customHeight="1">
      <c r="P619" s="18"/>
      <c r="S619" s="18"/>
    </row>
    <row r="620" ht="15.75" customHeight="1">
      <c r="P620" s="18"/>
      <c r="S620" s="18"/>
    </row>
    <row r="621" ht="15.75" customHeight="1">
      <c r="P621" s="18"/>
      <c r="S621" s="18"/>
    </row>
    <row r="622" ht="15.75" customHeight="1">
      <c r="P622" s="18"/>
      <c r="S622" s="18"/>
    </row>
    <row r="623" ht="15.75" customHeight="1">
      <c r="P623" s="18"/>
      <c r="S623" s="18"/>
    </row>
    <row r="624" ht="15.75" customHeight="1">
      <c r="P624" s="18"/>
      <c r="S624" s="18"/>
    </row>
    <row r="625" ht="15.75" customHeight="1">
      <c r="P625" s="18"/>
      <c r="S625" s="18"/>
    </row>
    <row r="626" ht="15.75" customHeight="1">
      <c r="P626" s="18"/>
      <c r="S626" s="18"/>
    </row>
    <row r="627" ht="15.75" customHeight="1">
      <c r="P627" s="18"/>
      <c r="S627" s="18"/>
    </row>
    <row r="628" ht="15.75" customHeight="1">
      <c r="P628" s="18"/>
      <c r="S628" s="18"/>
    </row>
    <row r="629" ht="15.75" customHeight="1">
      <c r="P629" s="18"/>
      <c r="S629" s="18"/>
    </row>
    <row r="630" ht="15.75" customHeight="1">
      <c r="P630" s="18"/>
      <c r="S630" s="18"/>
    </row>
    <row r="631" ht="15.75" customHeight="1">
      <c r="P631" s="18"/>
      <c r="S631" s="18"/>
    </row>
    <row r="632" ht="15.75" customHeight="1">
      <c r="P632" s="18"/>
      <c r="S632" s="18"/>
    </row>
    <row r="633" ht="15.75" customHeight="1">
      <c r="P633" s="18"/>
      <c r="S633" s="18"/>
    </row>
    <row r="634" ht="15.75" customHeight="1">
      <c r="P634" s="18"/>
      <c r="S634" s="18"/>
    </row>
    <row r="635" ht="15.75" customHeight="1">
      <c r="P635" s="18"/>
      <c r="S635" s="18"/>
    </row>
    <row r="636" ht="15.75" customHeight="1">
      <c r="P636" s="18"/>
      <c r="S636" s="18"/>
    </row>
    <row r="637" ht="15.75" customHeight="1">
      <c r="P637" s="18"/>
      <c r="S637" s="18"/>
    </row>
    <row r="638" ht="15.75" customHeight="1">
      <c r="P638" s="18"/>
      <c r="S638" s="18"/>
    </row>
    <row r="639" ht="15.75" customHeight="1">
      <c r="P639" s="18"/>
      <c r="S639" s="18"/>
    </row>
    <row r="640" ht="15.75" customHeight="1">
      <c r="P640" s="18"/>
      <c r="S640" s="18"/>
    </row>
    <row r="641" ht="15.75" customHeight="1">
      <c r="P641" s="18"/>
      <c r="S641" s="18"/>
    </row>
    <row r="642" ht="15.75" customHeight="1">
      <c r="P642" s="18"/>
      <c r="S642" s="18"/>
    </row>
    <row r="643" ht="15.75" customHeight="1">
      <c r="P643" s="18"/>
      <c r="S643" s="18"/>
    </row>
    <row r="644" ht="15.75" customHeight="1">
      <c r="P644" s="18"/>
      <c r="S644" s="18"/>
    </row>
    <row r="645" ht="15.75" customHeight="1">
      <c r="P645" s="18"/>
      <c r="S645" s="18"/>
    </row>
    <row r="646" ht="15.75" customHeight="1">
      <c r="P646" s="18"/>
      <c r="S646" s="18"/>
    </row>
    <row r="647" ht="15.75" customHeight="1">
      <c r="P647" s="18"/>
      <c r="S647" s="18"/>
    </row>
    <row r="648" ht="15.75" customHeight="1">
      <c r="P648" s="18"/>
      <c r="S648" s="18"/>
    </row>
    <row r="649" ht="15.75" customHeight="1">
      <c r="P649" s="18"/>
      <c r="S649" s="18"/>
    </row>
    <row r="650" ht="15.75" customHeight="1">
      <c r="P650" s="18"/>
      <c r="S650" s="18"/>
    </row>
    <row r="651" ht="15.75" customHeight="1">
      <c r="P651" s="18"/>
      <c r="S651" s="18"/>
    </row>
    <row r="652" ht="15.75" customHeight="1">
      <c r="P652" s="18"/>
      <c r="S652" s="18"/>
    </row>
    <row r="653" ht="15.75" customHeight="1">
      <c r="P653" s="18"/>
      <c r="S653" s="18"/>
    </row>
    <row r="654" ht="15.75" customHeight="1">
      <c r="P654" s="18"/>
      <c r="S654" s="18"/>
    </row>
    <row r="655" ht="15.75" customHeight="1">
      <c r="P655" s="18"/>
      <c r="S655" s="18"/>
    </row>
    <row r="656" ht="15.75" customHeight="1">
      <c r="P656" s="18"/>
      <c r="S656" s="18"/>
    </row>
    <row r="657" ht="15.75" customHeight="1">
      <c r="P657" s="18"/>
      <c r="S657" s="18"/>
    </row>
    <row r="658" ht="15.75" customHeight="1">
      <c r="P658" s="18"/>
      <c r="S658" s="18"/>
    </row>
    <row r="659" ht="15.75" customHeight="1">
      <c r="P659" s="18"/>
      <c r="S659" s="18"/>
    </row>
    <row r="660" ht="15.75" customHeight="1">
      <c r="P660" s="18"/>
      <c r="S660" s="18"/>
    </row>
    <row r="661" ht="15.75" customHeight="1">
      <c r="P661" s="18"/>
      <c r="S661" s="18"/>
    </row>
    <row r="662" ht="15.75" customHeight="1">
      <c r="P662" s="18"/>
      <c r="S662" s="18"/>
    </row>
    <row r="663" ht="15.75" customHeight="1">
      <c r="P663" s="18"/>
      <c r="S663" s="18"/>
    </row>
    <row r="664" ht="15.75" customHeight="1">
      <c r="P664" s="18"/>
      <c r="S664" s="18"/>
    </row>
    <row r="665" ht="15.75" customHeight="1">
      <c r="P665" s="18"/>
      <c r="S665" s="18"/>
    </row>
    <row r="666" ht="15.75" customHeight="1">
      <c r="P666" s="18"/>
      <c r="S666" s="18"/>
    </row>
    <row r="667" ht="15.75" customHeight="1">
      <c r="P667" s="18"/>
      <c r="S667" s="18"/>
    </row>
    <row r="668" ht="15.75" customHeight="1">
      <c r="P668" s="18"/>
      <c r="S668" s="18"/>
    </row>
    <row r="669" ht="15.75" customHeight="1">
      <c r="P669" s="18"/>
      <c r="S669" s="18"/>
    </row>
    <row r="670" ht="15.75" customHeight="1">
      <c r="P670" s="18"/>
      <c r="S670" s="18"/>
    </row>
    <row r="671" ht="15.75" customHeight="1">
      <c r="P671" s="18"/>
      <c r="S671" s="18"/>
    </row>
    <row r="672" ht="15.75" customHeight="1">
      <c r="P672" s="18"/>
      <c r="S672" s="18"/>
    </row>
    <row r="673" ht="15.75" customHeight="1">
      <c r="P673" s="18"/>
      <c r="S673" s="18"/>
    </row>
    <row r="674" ht="15.75" customHeight="1">
      <c r="P674" s="18"/>
      <c r="S674" s="18"/>
    </row>
    <row r="675" ht="15.75" customHeight="1">
      <c r="P675" s="18"/>
      <c r="S675" s="18"/>
    </row>
    <row r="676" ht="15.75" customHeight="1">
      <c r="P676" s="18"/>
      <c r="S676" s="18"/>
    </row>
    <row r="677" ht="15.75" customHeight="1">
      <c r="P677" s="18"/>
      <c r="S677" s="18"/>
    </row>
    <row r="678" ht="15.75" customHeight="1">
      <c r="P678" s="18"/>
      <c r="S678" s="18"/>
    </row>
    <row r="679" ht="15.75" customHeight="1">
      <c r="P679" s="18"/>
      <c r="S679" s="18"/>
    </row>
    <row r="680" ht="15.75" customHeight="1">
      <c r="P680" s="18"/>
      <c r="S680" s="18"/>
    </row>
    <row r="681" ht="15.75" customHeight="1">
      <c r="P681" s="18"/>
      <c r="S681" s="18"/>
    </row>
    <row r="682" ht="15.75" customHeight="1">
      <c r="P682" s="18"/>
      <c r="S682" s="18"/>
    </row>
    <row r="683" ht="15.75" customHeight="1">
      <c r="P683" s="18"/>
      <c r="S683" s="18"/>
    </row>
    <row r="684" ht="15.75" customHeight="1">
      <c r="P684" s="18"/>
      <c r="S684" s="18"/>
    </row>
    <row r="685" ht="15.75" customHeight="1">
      <c r="P685" s="18"/>
      <c r="S685" s="18"/>
    </row>
    <row r="686" ht="15.75" customHeight="1">
      <c r="P686" s="18"/>
      <c r="S686" s="18"/>
    </row>
    <row r="687" ht="15.75" customHeight="1">
      <c r="P687" s="18"/>
      <c r="S687" s="18"/>
    </row>
    <row r="688" ht="15.75" customHeight="1">
      <c r="P688" s="18"/>
      <c r="S688" s="18"/>
    </row>
    <row r="689" ht="15.75" customHeight="1">
      <c r="P689" s="18"/>
      <c r="S689" s="18"/>
    </row>
    <row r="690" ht="15.75" customHeight="1">
      <c r="P690" s="18"/>
      <c r="S690" s="18"/>
    </row>
    <row r="691" ht="15.75" customHeight="1">
      <c r="P691" s="18"/>
      <c r="S691" s="18"/>
    </row>
    <row r="692" ht="15.75" customHeight="1">
      <c r="P692" s="18"/>
      <c r="S692" s="18"/>
    </row>
    <row r="693" ht="15.75" customHeight="1">
      <c r="P693" s="18"/>
      <c r="S693" s="18"/>
    </row>
    <row r="694" ht="15.75" customHeight="1">
      <c r="P694" s="18"/>
      <c r="S694" s="18"/>
    </row>
    <row r="695" ht="15.75" customHeight="1">
      <c r="P695" s="18"/>
      <c r="S695" s="18"/>
    </row>
    <row r="696" ht="15.75" customHeight="1">
      <c r="P696" s="18"/>
      <c r="S696" s="18"/>
    </row>
    <row r="697" ht="15.75" customHeight="1">
      <c r="P697" s="18"/>
      <c r="S697" s="18"/>
    </row>
    <row r="698" ht="15.75" customHeight="1">
      <c r="P698" s="18"/>
      <c r="S698" s="18"/>
    </row>
    <row r="699" ht="15.75" customHeight="1">
      <c r="P699" s="18"/>
      <c r="S699" s="18"/>
    </row>
    <row r="700" ht="15.75" customHeight="1">
      <c r="P700" s="18"/>
      <c r="S700" s="18"/>
    </row>
    <row r="701" ht="15.75" customHeight="1">
      <c r="P701" s="18"/>
      <c r="S701" s="18"/>
    </row>
    <row r="702" ht="15.75" customHeight="1">
      <c r="P702" s="18"/>
      <c r="S702" s="18"/>
    </row>
    <row r="703" ht="15.75" customHeight="1">
      <c r="P703" s="18"/>
      <c r="S703" s="18"/>
    </row>
    <row r="704" ht="15.75" customHeight="1">
      <c r="P704" s="18"/>
      <c r="S704" s="18"/>
    </row>
    <row r="705" ht="15.75" customHeight="1">
      <c r="P705" s="18"/>
      <c r="S705" s="18"/>
    </row>
    <row r="706" ht="15.75" customHeight="1">
      <c r="P706" s="18"/>
      <c r="S706" s="18"/>
    </row>
    <row r="707" ht="15.75" customHeight="1">
      <c r="P707" s="18"/>
      <c r="S707" s="18"/>
    </row>
    <row r="708" ht="15.75" customHeight="1">
      <c r="P708" s="18"/>
      <c r="S708" s="18"/>
    </row>
    <row r="709" ht="15.75" customHeight="1">
      <c r="P709" s="18"/>
      <c r="S709" s="18"/>
    </row>
    <row r="710" ht="15.75" customHeight="1">
      <c r="P710" s="18"/>
      <c r="S710" s="18"/>
    </row>
    <row r="711" ht="15.75" customHeight="1">
      <c r="P711" s="18"/>
      <c r="S711" s="18"/>
    </row>
    <row r="712" ht="15.75" customHeight="1">
      <c r="P712" s="18"/>
      <c r="S712" s="18"/>
    </row>
    <row r="713" ht="15.75" customHeight="1">
      <c r="P713" s="18"/>
      <c r="S713" s="18"/>
    </row>
    <row r="714" ht="15.75" customHeight="1">
      <c r="P714" s="18"/>
      <c r="S714" s="18"/>
    </row>
    <row r="715" ht="15.75" customHeight="1">
      <c r="P715" s="18"/>
      <c r="S715" s="18"/>
    </row>
    <row r="716" ht="15.75" customHeight="1">
      <c r="P716" s="18"/>
      <c r="S716" s="18"/>
    </row>
    <row r="717" ht="15.75" customHeight="1">
      <c r="P717" s="18"/>
      <c r="S717" s="18"/>
    </row>
    <row r="718" ht="15.75" customHeight="1">
      <c r="P718" s="18"/>
      <c r="S718" s="18"/>
    </row>
    <row r="719" ht="15.75" customHeight="1">
      <c r="P719" s="18"/>
      <c r="S719" s="18"/>
    </row>
    <row r="720" ht="15.75" customHeight="1">
      <c r="P720" s="18"/>
      <c r="S720" s="18"/>
    </row>
    <row r="721" ht="15.75" customHeight="1">
      <c r="P721" s="18"/>
      <c r="S721" s="18"/>
    </row>
    <row r="722" ht="15.75" customHeight="1">
      <c r="P722" s="18"/>
      <c r="S722" s="18"/>
    </row>
    <row r="723" ht="15.75" customHeight="1">
      <c r="P723" s="18"/>
      <c r="S723" s="18"/>
    </row>
    <row r="724" ht="15.75" customHeight="1">
      <c r="P724" s="18"/>
      <c r="S724" s="18"/>
    </row>
    <row r="725" ht="15.75" customHeight="1">
      <c r="P725" s="18"/>
      <c r="S725" s="18"/>
    </row>
    <row r="726" ht="15.75" customHeight="1">
      <c r="P726" s="18"/>
      <c r="S726" s="18"/>
    </row>
    <row r="727" ht="15.75" customHeight="1">
      <c r="P727" s="18"/>
      <c r="S727" s="18"/>
    </row>
    <row r="728" ht="15.75" customHeight="1">
      <c r="P728" s="18"/>
      <c r="S728" s="18"/>
    </row>
    <row r="729" ht="15.75" customHeight="1">
      <c r="P729" s="18"/>
      <c r="S729" s="18"/>
    </row>
    <row r="730" ht="15.75" customHeight="1">
      <c r="P730" s="18"/>
      <c r="S730" s="18"/>
    </row>
    <row r="731" ht="15.75" customHeight="1">
      <c r="P731" s="18"/>
      <c r="S731" s="18"/>
    </row>
    <row r="732" ht="15.75" customHeight="1">
      <c r="P732" s="18"/>
      <c r="S732" s="18"/>
    </row>
    <row r="733" ht="15.75" customHeight="1">
      <c r="P733" s="18"/>
      <c r="S733" s="18"/>
    </row>
    <row r="734" ht="15.75" customHeight="1">
      <c r="P734" s="18"/>
      <c r="S734" s="18"/>
    </row>
    <row r="735" ht="15.75" customHeight="1">
      <c r="P735" s="18"/>
      <c r="S735" s="18"/>
    </row>
    <row r="736" ht="15.75" customHeight="1">
      <c r="P736" s="18"/>
      <c r="S736" s="18"/>
    </row>
    <row r="737" ht="15.75" customHeight="1">
      <c r="P737" s="18"/>
      <c r="S737" s="18"/>
    </row>
    <row r="738" ht="15.75" customHeight="1">
      <c r="P738" s="18"/>
      <c r="S738" s="18"/>
    </row>
    <row r="739" ht="15.75" customHeight="1">
      <c r="P739" s="18"/>
      <c r="S739" s="18"/>
    </row>
    <row r="740" ht="15.75" customHeight="1">
      <c r="P740" s="18"/>
      <c r="S740" s="18"/>
    </row>
    <row r="741" ht="15.75" customHeight="1">
      <c r="P741" s="18"/>
      <c r="S741" s="18"/>
    </row>
    <row r="742" ht="15.75" customHeight="1">
      <c r="P742" s="18"/>
      <c r="S742" s="18"/>
    </row>
    <row r="743" ht="15.75" customHeight="1">
      <c r="P743" s="18"/>
      <c r="S743" s="18"/>
    </row>
    <row r="744" ht="15.75" customHeight="1">
      <c r="P744" s="18"/>
      <c r="S744" s="18"/>
    </row>
    <row r="745" ht="15.75" customHeight="1">
      <c r="P745" s="18"/>
      <c r="S745" s="18"/>
    </row>
    <row r="746" ht="15.75" customHeight="1">
      <c r="P746" s="18"/>
      <c r="S746" s="18"/>
    </row>
    <row r="747" ht="15.75" customHeight="1">
      <c r="P747" s="18"/>
      <c r="S747" s="18"/>
    </row>
    <row r="748" ht="15.75" customHeight="1">
      <c r="P748" s="18"/>
      <c r="S748" s="18"/>
    </row>
    <row r="749" ht="15.75" customHeight="1">
      <c r="P749" s="18"/>
      <c r="S749" s="18"/>
    </row>
    <row r="750" ht="15.75" customHeight="1">
      <c r="P750" s="18"/>
      <c r="S750" s="18"/>
    </row>
    <row r="751" ht="15.75" customHeight="1">
      <c r="P751" s="18"/>
      <c r="S751" s="18"/>
    </row>
    <row r="752" ht="15.75" customHeight="1">
      <c r="P752" s="18"/>
      <c r="S752" s="18"/>
    </row>
    <row r="753" ht="15.75" customHeight="1">
      <c r="P753" s="18"/>
      <c r="S753" s="18"/>
    </row>
    <row r="754" ht="15.75" customHeight="1">
      <c r="P754" s="18"/>
      <c r="S754" s="18"/>
    </row>
    <row r="755" ht="15.75" customHeight="1">
      <c r="P755" s="18"/>
      <c r="S755" s="18"/>
    </row>
    <row r="756" ht="15.75" customHeight="1">
      <c r="P756" s="18"/>
      <c r="S756" s="18"/>
    </row>
    <row r="757" ht="15.75" customHeight="1">
      <c r="P757" s="18"/>
      <c r="S757" s="18"/>
    </row>
    <row r="758" ht="15.75" customHeight="1">
      <c r="P758" s="18"/>
      <c r="S758" s="18"/>
    </row>
    <row r="759" ht="15.75" customHeight="1">
      <c r="P759" s="18"/>
      <c r="S759" s="18"/>
    </row>
    <row r="760" ht="15.75" customHeight="1">
      <c r="P760" s="18"/>
      <c r="S760" s="18"/>
    </row>
    <row r="761" ht="15.75" customHeight="1">
      <c r="P761" s="18"/>
      <c r="S761" s="18"/>
    </row>
    <row r="762" ht="15.75" customHeight="1">
      <c r="P762" s="18"/>
      <c r="S762" s="18"/>
    </row>
    <row r="763" ht="15.75" customHeight="1">
      <c r="P763" s="18"/>
      <c r="S763" s="18"/>
    </row>
    <row r="764" ht="15.75" customHeight="1">
      <c r="P764" s="18"/>
      <c r="S764" s="18"/>
    </row>
    <row r="765" ht="15.75" customHeight="1">
      <c r="P765" s="18"/>
      <c r="S765" s="18"/>
    </row>
    <row r="766" ht="15.75" customHeight="1">
      <c r="P766" s="18"/>
      <c r="S766" s="18"/>
    </row>
    <row r="767" ht="15.75" customHeight="1">
      <c r="P767" s="18"/>
      <c r="S767" s="18"/>
    </row>
    <row r="768" ht="15.75" customHeight="1">
      <c r="P768" s="18"/>
      <c r="S768" s="18"/>
    </row>
    <row r="769" ht="15.75" customHeight="1">
      <c r="P769" s="18"/>
      <c r="S769" s="18"/>
    </row>
    <row r="770" ht="15.75" customHeight="1">
      <c r="P770" s="18"/>
      <c r="S770" s="18"/>
    </row>
    <row r="771" ht="15.75" customHeight="1">
      <c r="P771" s="18"/>
      <c r="S771" s="18"/>
    </row>
    <row r="772" ht="15.75" customHeight="1">
      <c r="P772" s="18"/>
      <c r="S772" s="18"/>
    </row>
    <row r="773" ht="15.75" customHeight="1">
      <c r="P773" s="18"/>
      <c r="S773" s="18"/>
    </row>
    <row r="774" ht="15.75" customHeight="1">
      <c r="P774" s="18"/>
      <c r="S774" s="18"/>
    </row>
    <row r="775" ht="15.75" customHeight="1">
      <c r="P775" s="18"/>
      <c r="S775" s="18"/>
    </row>
    <row r="776" ht="15.75" customHeight="1">
      <c r="P776" s="18"/>
      <c r="S776" s="18"/>
    </row>
    <row r="777" ht="15.75" customHeight="1">
      <c r="P777" s="18"/>
      <c r="S777" s="18"/>
    </row>
    <row r="778" ht="15.75" customHeight="1">
      <c r="P778" s="18"/>
      <c r="S778" s="18"/>
    </row>
    <row r="779" ht="15.75" customHeight="1">
      <c r="P779" s="18"/>
      <c r="S779" s="18"/>
    </row>
    <row r="780" ht="15.75" customHeight="1">
      <c r="P780" s="18"/>
      <c r="S780" s="18"/>
    </row>
    <row r="781" ht="15.75" customHeight="1">
      <c r="P781" s="18"/>
      <c r="S781" s="18"/>
    </row>
    <row r="782" ht="15.75" customHeight="1">
      <c r="P782" s="18"/>
      <c r="S782" s="18"/>
    </row>
    <row r="783" ht="15.75" customHeight="1">
      <c r="P783" s="18"/>
      <c r="S783" s="18"/>
    </row>
    <row r="784" ht="15.75" customHeight="1">
      <c r="P784" s="18"/>
      <c r="S784" s="18"/>
    </row>
    <row r="785" ht="15.75" customHeight="1">
      <c r="P785" s="18"/>
      <c r="S785" s="18"/>
    </row>
    <row r="786" ht="15.75" customHeight="1">
      <c r="P786" s="18"/>
      <c r="S786" s="18"/>
    </row>
    <row r="787" ht="15.75" customHeight="1">
      <c r="P787" s="18"/>
      <c r="S787" s="18"/>
    </row>
    <row r="788" ht="15.75" customHeight="1">
      <c r="P788" s="18"/>
      <c r="S788" s="18"/>
    </row>
    <row r="789" ht="15.75" customHeight="1">
      <c r="P789" s="18"/>
      <c r="S789" s="18"/>
    </row>
    <row r="790" ht="15.75" customHeight="1">
      <c r="P790" s="18"/>
      <c r="S790" s="18"/>
    </row>
    <row r="791" ht="15.75" customHeight="1">
      <c r="P791" s="18"/>
      <c r="S791" s="18"/>
    </row>
    <row r="792" ht="15.75" customHeight="1">
      <c r="P792" s="18"/>
      <c r="S792" s="18"/>
    </row>
    <row r="793" ht="15.75" customHeight="1">
      <c r="P793" s="18"/>
      <c r="S793" s="18"/>
    </row>
    <row r="794" ht="15.75" customHeight="1">
      <c r="P794" s="18"/>
      <c r="S794" s="18"/>
    </row>
    <row r="795" ht="15.75" customHeight="1">
      <c r="P795" s="18"/>
      <c r="S795" s="18"/>
    </row>
    <row r="796" ht="15.75" customHeight="1">
      <c r="P796" s="18"/>
      <c r="S796" s="18"/>
    </row>
    <row r="797" ht="15.75" customHeight="1">
      <c r="P797" s="18"/>
      <c r="S797" s="18"/>
    </row>
    <row r="798" ht="15.75" customHeight="1">
      <c r="P798" s="18"/>
      <c r="S798" s="18"/>
    </row>
    <row r="799" ht="15.75" customHeight="1">
      <c r="P799" s="18"/>
      <c r="S799" s="18"/>
    </row>
    <row r="800" ht="15.75" customHeight="1">
      <c r="P800" s="18"/>
      <c r="S800" s="18"/>
    </row>
    <row r="801" ht="15.75" customHeight="1">
      <c r="P801" s="18"/>
      <c r="S801" s="18"/>
    </row>
    <row r="802" ht="15.75" customHeight="1">
      <c r="P802" s="18"/>
      <c r="S802" s="18"/>
    </row>
    <row r="803" ht="15.75" customHeight="1">
      <c r="P803" s="18"/>
      <c r="S803" s="18"/>
    </row>
    <row r="804" ht="15.75" customHeight="1">
      <c r="P804" s="18"/>
      <c r="S804" s="18"/>
    </row>
    <row r="805" ht="15.75" customHeight="1">
      <c r="P805" s="18"/>
      <c r="S805" s="18"/>
    </row>
    <row r="806" ht="15.75" customHeight="1">
      <c r="P806" s="18"/>
      <c r="S806" s="18"/>
    </row>
    <row r="807" ht="15.75" customHeight="1">
      <c r="P807" s="18"/>
      <c r="S807" s="18"/>
    </row>
    <row r="808" ht="15.75" customHeight="1">
      <c r="P808" s="18"/>
      <c r="S808" s="18"/>
    </row>
    <row r="809" ht="15.75" customHeight="1">
      <c r="P809" s="18"/>
      <c r="S809" s="18"/>
    </row>
    <row r="810" ht="15.75" customHeight="1">
      <c r="P810" s="18"/>
      <c r="S810" s="18"/>
    </row>
    <row r="811" ht="15.75" customHeight="1">
      <c r="P811" s="18"/>
      <c r="S811" s="18"/>
    </row>
    <row r="812" ht="15.75" customHeight="1">
      <c r="P812" s="18"/>
      <c r="S812" s="18"/>
    </row>
    <row r="813" ht="15.75" customHeight="1">
      <c r="P813" s="18"/>
      <c r="S813" s="18"/>
    </row>
    <row r="814" ht="15.75" customHeight="1">
      <c r="P814" s="18"/>
      <c r="S814" s="18"/>
    </row>
    <row r="815" ht="15.75" customHeight="1">
      <c r="P815" s="18"/>
      <c r="S815" s="18"/>
    </row>
    <row r="816" ht="15.75" customHeight="1">
      <c r="P816" s="18"/>
      <c r="S816" s="18"/>
    </row>
    <row r="817" ht="15.75" customHeight="1">
      <c r="P817" s="18"/>
      <c r="S817" s="18"/>
    </row>
    <row r="818" ht="15.75" customHeight="1">
      <c r="P818" s="18"/>
      <c r="S818" s="18"/>
    </row>
    <row r="819" ht="15.75" customHeight="1">
      <c r="P819" s="18"/>
      <c r="S819" s="18"/>
    </row>
    <row r="820" ht="15.75" customHeight="1">
      <c r="P820" s="18"/>
      <c r="S820" s="18"/>
    </row>
    <row r="821" ht="15.75" customHeight="1">
      <c r="P821" s="18"/>
      <c r="S821" s="18"/>
    </row>
    <row r="822" ht="15.75" customHeight="1">
      <c r="P822" s="18"/>
      <c r="S822" s="18"/>
    </row>
    <row r="823" ht="15.75" customHeight="1">
      <c r="P823" s="18"/>
      <c r="S823" s="18"/>
    </row>
    <row r="824" ht="15.75" customHeight="1">
      <c r="P824" s="18"/>
      <c r="S824" s="18"/>
    </row>
    <row r="825" ht="15.75" customHeight="1">
      <c r="P825" s="18"/>
      <c r="S825" s="18"/>
    </row>
    <row r="826" ht="15.75" customHeight="1">
      <c r="P826" s="18"/>
      <c r="S826" s="18"/>
    </row>
    <row r="827" ht="15.75" customHeight="1">
      <c r="P827" s="18"/>
      <c r="S827" s="18"/>
    </row>
    <row r="828" ht="15.75" customHeight="1">
      <c r="P828" s="18"/>
      <c r="S828" s="18"/>
    </row>
    <row r="829" ht="15.75" customHeight="1">
      <c r="P829" s="18"/>
      <c r="S829" s="18"/>
    </row>
    <row r="830" ht="15.75" customHeight="1">
      <c r="P830" s="18"/>
      <c r="S830" s="18"/>
    </row>
    <row r="831" ht="15.75" customHeight="1">
      <c r="P831" s="18"/>
      <c r="S831" s="18"/>
    </row>
    <row r="832" ht="15.75" customHeight="1">
      <c r="P832" s="18"/>
      <c r="S832" s="18"/>
    </row>
    <row r="833" ht="15.75" customHeight="1">
      <c r="P833" s="18"/>
      <c r="S833" s="18"/>
    </row>
    <row r="834" ht="15.75" customHeight="1">
      <c r="P834" s="18"/>
      <c r="S834" s="18"/>
    </row>
    <row r="835" ht="15.75" customHeight="1">
      <c r="P835" s="18"/>
      <c r="S835" s="18"/>
    </row>
    <row r="836" ht="15.75" customHeight="1">
      <c r="P836" s="18"/>
      <c r="S836" s="18"/>
    </row>
    <row r="837" ht="15.75" customHeight="1">
      <c r="P837" s="18"/>
      <c r="S837" s="18"/>
    </row>
    <row r="838" ht="15.75" customHeight="1">
      <c r="P838" s="18"/>
      <c r="S838" s="18"/>
    </row>
    <row r="839" ht="15.75" customHeight="1">
      <c r="P839" s="18"/>
      <c r="S839" s="18"/>
    </row>
    <row r="840" ht="15.75" customHeight="1">
      <c r="P840" s="18"/>
      <c r="S840" s="18"/>
    </row>
    <row r="841" ht="15.75" customHeight="1">
      <c r="P841" s="18"/>
      <c r="S841" s="18"/>
    </row>
    <row r="842" ht="15.75" customHeight="1">
      <c r="P842" s="18"/>
      <c r="S842" s="18"/>
    </row>
    <row r="843" ht="15.75" customHeight="1">
      <c r="P843" s="18"/>
      <c r="S843" s="18"/>
    </row>
    <row r="844" ht="15.75" customHeight="1">
      <c r="P844" s="18"/>
      <c r="S844" s="18"/>
    </row>
    <row r="845" ht="15.75" customHeight="1">
      <c r="P845" s="18"/>
      <c r="S845" s="18"/>
    </row>
    <row r="846" ht="15.75" customHeight="1">
      <c r="P846" s="18"/>
      <c r="S846" s="18"/>
    </row>
    <row r="847" ht="15.75" customHeight="1">
      <c r="P847" s="18"/>
      <c r="S847" s="18"/>
    </row>
    <row r="848" ht="15.75" customHeight="1">
      <c r="P848" s="18"/>
      <c r="S848" s="18"/>
    </row>
    <row r="849" ht="15.75" customHeight="1">
      <c r="P849" s="18"/>
      <c r="S849" s="18"/>
    </row>
    <row r="850" ht="15.75" customHeight="1">
      <c r="P850" s="18"/>
      <c r="S850" s="18"/>
    </row>
    <row r="851" ht="15.75" customHeight="1">
      <c r="P851" s="18"/>
      <c r="S851" s="18"/>
    </row>
    <row r="852" ht="15.75" customHeight="1">
      <c r="P852" s="18"/>
      <c r="S852" s="18"/>
    </row>
    <row r="853" ht="15.75" customHeight="1">
      <c r="P853" s="18"/>
      <c r="S853" s="18"/>
    </row>
    <row r="854" ht="15.75" customHeight="1">
      <c r="P854" s="18"/>
      <c r="S854" s="18"/>
    </row>
    <row r="855" ht="15.75" customHeight="1">
      <c r="P855" s="18"/>
      <c r="S855" s="18"/>
    </row>
    <row r="856" ht="15.75" customHeight="1">
      <c r="P856" s="18"/>
      <c r="S856" s="18"/>
    </row>
    <row r="857" ht="15.75" customHeight="1">
      <c r="P857" s="18"/>
      <c r="S857" s="18"/>
    </row>
    <row r="858" ht="15.75" customHeight="1">
      <c r="P858" s="18"/>
      <c r="S858" s="18"/>
    </row>
    <row r="859" ht="15.75" customHeight="1">
      <c r="P859" s="18"/>
      <c r="S859" s="18"/>
    </row>
    <row r="860" ht="15.75" customHeight="1">
      <c r="P860" s="18"/>
      <c r="S860" s="18"/>
    </row>
    <row r="861" ht="15.75" customHeight="1">
      <c r="P861" s="18"/>
      <c r="S861" s="18"/>
    </row>
    <row r="862" ht="15.75" customHeight="1">
      <c r="P862" s="18"/>
      <c r="S862" s="18"/>
    </row>
    <row r="863" ht="15.75" customHeight="1">
      <c r="P863" s="18"/>
      <c r="S863" s="18"/>
    </row>
    <row r="864" ht="15.75" customHeight="1">
      <c r="P864" s="18"/>
      <c r="S864" s="18"/>
    </row>
    <row r="865" ht="15.75" customHeight="1">
      <c r="P865" s="18"/>
      <c r="S865" s="18"/>
    </row>
    <row r="866" ht="15.75" customHeight="1">
      <c r="P866" s="18"/>
      <c r="S866" s="18"/>
    </row>
    <row r="867" ht="15.75" customHeight="1">
      <c r="P867" s="18"/>
      <c r="S867" s="18"/>
    </row>
    <row r="868" ht="15.75" customHeight="1">
      <c r="P868" s="18"/>
      <c r="S868" s="18"/>
    </row>
    <row r="869" ht="15.75" customHeight="1">
      <c r="P869" s="18"/>
      <c r="S869" s="18"/>
    </row>
    <row r="870" ht="15.75" customHeight="1">
      <c r="P870" s="18"/>
      <c r="S870" s="18"/>
    </row>
    <row r="871" ht="15.75" customHeight="1">
      <c r="P871" s="18"/>
      <c r="S871" s="18"/>
    </row>
    <row r="872" ht="15.75" customHeight="1">
      <c r="P872" s="18"/>
      <c r="S872" s="18"/>
    </row>
    <row r="873" ht="15.75" customHeight="1">
      <c r="P873" s="18"/>
      <c r="S873" s="18"/>
    </row>
    <row r="874" ht="15.75" customHeight="1">
      <c r="P874" s="18"/>
      <c r="S874" s="18"/>
    </row>
    <row r="875" ht="15.75" customHeight="1">
      <c r="P875" s="18"/>
      <c r="S875" s="18"/>
    </row>
    <row r="876" ht="15.75" customHeight="1">
      <c r="P876" s="18"/>
      <c r="S876" s="18"/>
    </row>
    <row r="877" ht="15.75" customHeight="1">
      <c r="P877" s="18"/>
      <c r="S877" s="18"/>
    </row>
    <row r="878" ht="15.75" customHeight="1">
      <c r="P878" s="18"/>
      <c r="S878" s="18"/>
    </row>
    <row r="879" ht="15.75" customHeight="1">
      <c r="P879" s="18"/>
      <c r="S879" s="18"/>
    </row>
    <row r="880" ht="15.75" customHeight="1">
      <c r="P880" s="18"/>
      <c r="S880" s="18"/>
    </row>
    <row r="881" ht="15.75" customHeight="1">
      <c r="P881" s="18"/>
      <c r="S881" s="18"/>
    </row>
    <row r="882" ht="15.75" customHeight="1">
      <c r="P882" s="18"/>
      <c r="S882" s="18"/>
    </row>
    <row r="883" ht="15.75" customHeight="1">
      <c r="P883" s="18"/>
      <c r="S883" s="18"/>
    </row>
    <row r="884" ht="15.75" customHeight="1">
      <c r="P884" s="18"/>
      <c r="S884" s="18"/>
    </row>
    <row r="885" ht="15.75" customHeight="1">
      <c r="P885" s="18"/>
      <c r="S885" s="18"/>
    </row>
    <row r="886" ht="15.75" customHeight="1">
      <c r="P886" s="18"/>
      <c r="S886" s="18"/>
    </row>
    <row r="887" ht="15.75" customHeight="1">
      <c r="P887" s="18"/>
      <c r="S887" s="18"/>
    </row>
    <row r="888" ht="15.75" customHeight="1">
      <c r="P888" s="18"/>
      <c r="S888" s="18"/>
    </row>
    <row r="889" ht="15.75" customHeight="1">
      <c r="P889" s="18"/>
      <c r="S889" s="18"/>
    </row>
    <row r="890" ht="15.75" customHeight="1">
      <c r="P890" s="18"/>
      <c r="S890" s="18"/>
    </row>
    <row r="891" ht="15.75" customHeight="1">
      <c r="P891" s="18"/>
      <c r="S891" s="18"/>
    </row>
    <row r="892" ht="15.75" customHeight="1">
      <c r="P892" s="18"/>
      <c r="S892" s="18"/>
    </row>
    <row r="893" ht="15.75" customHeight="1">
      <c r="P893" s="18"/>
      <c r="S893" s="18"/>
    </row>
    <row r="894" ht="15.75" customHeight="1">
      <c r="P894" s="18"/>
      <c r="S894" s="18"/>
    </row>
    <row r="895" ht="15.75" customHeight="1">
      <c r="P895" s="18"/>
      <c r="S895" s="18"/>
    </row>
    <row r="896" ht="15.75" customHeight="1">
      <c r="P896" s="18"/>
      <c r="S896" s="18"/>
    </row>
    <row r="897" ht="15.75" customHeight="1">
      <c r="P897" s="18"/>
      <c r="S897" s="18"/>
    </row>
    <row r="898" ht="15.75" customHeight="1">
      <c r="P898" s="18"/>
      <c r="S898" s="18"/>
    </row>
    <row r="899" ht="15.75" customHeight="1">
      <c r="P899" s="18"/>
      <c r="S899" s="18"/>
    </row>
    <row r="900" ht="15.75" customHeight="1">
      <c r="P900" s="18"/>
      <c r="S900" s="18"/>
    </row>
    <row r="901" ht="15.75" customHeight="1">
      <c r="P901" s="18"/>
      <c r="S901" s="18"/>
    </row>
    <row r="902" ht="15.75" customHeight="1">
      <c r="P902" s="18"/>
      <c r="S902" s="18"/>
    </row>
    <row r="903" ht="15.75" customHeight="1">
      <c r="P903" s="18"/>
      <c r="S903" s="18"/>
    </row>
    <row r="904" ht="15.75" customHeight="1">
      <c r="P904" s="18"/>
      <c r="S904" s="18"/>
    </row>
    <row r="905" ht="15.75" customHeight="1">
      <c r="P905" s="18"/>
      <c r="S905" s="18"/>
    </row>
    <row r="906" ht="15.75" customHeight="1">
      <c r="P906" s="18"/>
      <c r="S906" s="18"/>
    </row>
    <row r="907" ht="15.75" customHeight="1">
      <c r="P907" s="18"/>
      <c r="S907" s="18"/>
    </row>
    <row r="908" ht="15.75" customHeight="1">
      <c r="P908" s="18"/>
      <c r="S908" s="18"/>
    </row>
    <row r="909" ht="15.75" customHeight="1">
      <c r="P909" s="18"/>
      <c r="S909" s="18"/>
    </row>
    <row r="910" ht="15.75" customHeight="1">
      <c r="P910" s="18"/>
      <c r="S910" s="18"/>
    </row>
    <row r="911" ht="15.75" customHeight="1">
      <c r="P911" s="18"/>
      <c r="S911" s="18"/>
    </row>
    <row r="912" ht="15.75" customHeight="1">
      <c r="P912" s="18"/>
      <c r="S912" s="18"/>
    </row>
    <row r="913" ht="15.75" customHeight="1">
      <c r="P913" s="18"/>
      <c r="S913" s="18"/>
    </row>
    <row r="914" ht="15.75" customHeight="1">
      <c r="P914" s="18"/>
      <c r="S914" s="18"/>
    </row>
    <row r="915" ht="15.75" customHeight="1">
      <c r="P915" s="18"/>
      <c r="S915" s="18"/>
    </row>
    <row r="916" ht="15.75" customHeight="1">
      <c r="P916" s="18"/>
      <c r="S916" s="18"/>
    </row>
    <row r="917" ht="15.75" customHeight="1">
      <c r="P917" s="18"/>
      <c r="S917" s="18"/>
    </row>
    <row r="918" ht="15.75" customHeight="1">
      <c r="P918" s="18"/>
      <c r="S918" s="18"/>
    </row>
    <row r="919" ht="15.75" customHeight="1">
      <c r="P919" s="18"/>
      <c r="S919" s="18"/>
    </row>
    <row r="920" ht="15.75" customHeight="1">
      <c r="P920" s="18"/>
      <c r="S920" s="18"/>
    </row>
    <row r="921" ht="15.75" customHeight="1">
      <c r="P921" s="18"/>
      <c r="S921" s="18"/>
    </row>
    <row r="922" ht="15.75" customHeight="1">
      <c r="P922" s="18"/>
      <c r="S922" s="18"/>
    </row>
    <row r="923" ht="15.75" customHeight="1">
      <c r="P923" s="18"/>
      <c r="S923" s="18"/>
    </row>
    <row r="924" ht="15.75" customHeight="1">
      <c r="P924" s="18"/>
      <c r="S924" s="18"/>
    </row>
    <row r="925" ht="15.75" customHeight="1">
      <c r="P925" s="18"/>
      <c r="S925" s="18"/>
    </row>
    <row r="926" ht="15.75" customHeight="1">
      <c r="P926" s="18"/>
      <c r="S926" s="18"/>
    </row>
    <row r="927" ht="15.75" customHeight="1">
      <c r="P927" s="18"/>
      <c r="S927" s="18"/>
    </row>
    <row r="928" ht="15.75" customHeight="1">
      <c r="P928" s="18"/>
      <c r="S928" s="18"/>
    </row>
    <row r="929" ht="15.75" customHeight="1">
      <c r="P929" s="18"/>
      <c r="S929" s="18"/>
    </row>
    <row r="930" ht="15.75" customHeight="1">
      <c r="P930" s="18"/>
      <c r="S930" s="18"/>
    </row>
    <row r="931" ht="15.75" customHeight="1">
      <c r="P931" s="18"/>
      <c r="S931" s="18"/>
    </row>
    <row r="932" ht="15.75" customHeight="1">
      <c r="P932" s="18"/>
      <c r="S932" s="18"/>
    </row>
    <row r="933" ht="15.75" customHeight="1">
      <c r="P933" s="18"/>
      <c r="S933" s="18"/>
    </row>
    <row r="934" ht="15.75" customHeight="1">
      <c r="P934" s="18"/>
      <c r="S934" s="18"/>
    </row>
    <row r="935" ht="15.75" customHeight="1">
      <c r="P935" s="18"/>
      <c r="S935" s="18"/>
    </row>
    <row r="936" ht="15.75" customHeight="1">
      <c r="P936" s="18"/>
      <c r="S936" s="18"/>
    </row>
    <row r="937" ht="15.75" customHeight="1">
      <c r="P937" s="18"/>
      <c r="S937" s="18"/>
    </row>
    <row r="938" ht="15.75" customHeight="1">
      <c r="P938" s="18"/>
      <c r="S938" s="18"/>
    </row>
    <row r="939" ht="15.75" customHeight="1">
      <c r="P939" s="18"/>
      <c r="S939" s="18"/>
    </row>
    <row r="940" ht="15.75" customHeight="1">
      <c r="P940" s="18"/>
      <c r="S940" s="18"/>
    </row>
    <row r="941" ht="15.75" customHeight="1">
      <c r="P941" s="18"/>
      <c r="S941" s="18"/>
    </row>
    <row r="942" ht="15.75" customHeight="1">
      <c r="P942" s="18"/>
      <c r="S942" s="18"/>
    </row>
    <row r="943" ht="15.75" customHeight="1">
      <c r="P943" s="18"/>
      <c r="S943" s="18"/>
    </row>
    <row r="944" ht="15.75" customHeight="1">
      <c r="P944" s="18"/>
      <c r="S944" s="18"/>
    </row>
    <row r="945" ht="15.75" customHeight="1">
      <c r="P945" s="18"/>
      <c r="S945" s="18"/>
    </row>
    <row r="946" ht="15.75" customHeight="1">
      <c r="P946" s="18"/>
      <c r="S946" s="18"/>
    </row>
    <row r="947" ht="15.75" customHeight="1">
      <c r="P947" s="18"/>
      <c r="S947" s="18"/>
    </row>
    <row r="948" ht="15.75" customHeight="1">
      <c r="P948" s="18"/>
      <c r="S948" s="18"/>
    </row>
    <row r="949" ht="15.75" customHeight="1">
      <c r="P949" s="18"/>
      <c r="S949" s="18"/>
    </row>
    <row r="950" ht="15.75" customHeight="1">
      <c r="P950" s="18"/>
      <c r="S950" s="18"/>
    </row>
    <row r="951" ht="15.75" customHeight="1">
      <c r="P951" s="18"/>
      <c r="S951" s="18"/>
    </row>
    <row r="952" ht="15.75" customHeight="1">
      <c r="P952" s="18"/>
      <c r="S952" s="18"/>
    </row>
    <row r="953" ht="15.75" customHeight="1">
      <c r="P953" s="18"/>
      <c r="S953" s="18"/>
    </row>
    <row r="954" ht="15.75" customHeight="1">
      <c r="P954" s="18"/>
      <c r="S954" s="18"/>
    </row>
    <row r="955" ht="15.75" customHeight="1">
      <c r="P955" s="18"/>
      <c r="S955" s="18"/>
    </row>
    <row r="956" ht="15.75" customHeight="1">
      <c r="P956" s="18"/>
      <c r="S956" s="18"/>
    </row>
    <row r="957" ht="15.75" customHeight="1">
      <c r="P957" s="18"/>
      <c r="S957" s="18"/>
    </row>
    <row r="958" ht="15.75" customHeight="1">
      <c r="P958" s="18"/>
      <c r="S958" s="18"/>
    </row>
    <row r="959" ht="15.75" customHeight="1">
      <c r="P959" s="18"/>
      <c r="S959" s="18"/>
    </row>
    <row r="960" ht="15.75" customHeight="1">
      <c r="P960" s="18"/>
      <c r="S960" s="18"/>
    </row>
    <row r="961" ht="15.75" customHeight="1">
      <c r="P961" s="18"/>
      <c r="S961" s="18"/>
    </row>
    <row r="962" ht="15.75" customHeight="1">
      <c r="P962" s="18"/>
      <c r="S962" s="18"/>
    </row>
    <row r="963" ht="15.75" customHeight="1">
      <c r="P963" s="18"/>
      <c r="S963" s="18"/>
    </row>
    <row r="964" ht="15.75" customHeight="1">
      <c r="P964" s="18"/>
      <c r="S964" s="18"/>
    </row>
    <row r="965" ht="15.75" customHeight="1">
      <c r="P965" s="18"/>
      <c r="S965" s="18"/>
    </row>
    <row r="966" ht="15.75" customHeight="1">
      <c r="P966" s="18"/>
      <c r="S966" s="18"/>
    </row>
    <row r="967" ht="15.75" customHeight="1">
      <c r="P967" s="18"/>
      <c r="S967" s="18"/>
    </row>
    <row r="968" ht="15.75" customHeight="1">
      <c r="P968" s="18"/>
      <c r="S968" s="18"/>
    </row>
    <row r="969" ht="15.75" customHeight="1">
      <c r="P969" s="18"/>
      <c r="S969" s="18"/>
    </row>
    <row r="970" ht="15.75" customHeight="1">
      <c r="P970" s="18"/>
      <c r="S970" s="18"/>
    </row>
    <row r="971" ht="15.75" customHeight="1">
      <c r="P971" s="18"/>
      <c r="S971" s="18"/>
    </row>
    <row r="972" ht="15.75" customHeight="1">
      <c r="P972" s="18"/>
      <c r="S972" s="18"/>
    </row>
    <row r="973" ht="15.75" customHeight="1">
      <c r="P973" s="18"/>
      <c r="S973" s="18"/>
    </row>
    <row r="974" ht="15.75" customHeight="1">
      <c r="P974" s="18"/>
      <c r="S974" s="18"/>
    </row>
    <row r="975" ht="15.75" customHeight="1">
      <c r="P975" s="18"/>
      <c r="S975" s="18"/>
    </row>
    <row r="976" ht="15.75" customHeight="1">
      <c r="P976" s="18"/>
      <c r="S976" s="18"/>
    </row>
    <row r="977" ht="15.75" customHeight="1">
      <c r="P977" s="18"/>
      <c r="S977" s="18"/>
    </row>
    <row r="978" ht="15.75" customHeight="1">
      <c r="P978" s="18"/>
      <c r="S978" s="18"/>
    </row>
    <row r="979" ht="15.75" customHeight="1">
      <c r="P979" s="18"/>
      <c r="S979" s="18"/>
    </row>
    <row r="980" ht="15.75" customHeight="1">
      <c r="P980" s="18"/>
      <c r="S980" s="18"/>
    </row>
    <row r="981" ht="15.75" customHeight="1">
      <c r="P981" s="18"/>
      <c r="S981" s="18"/>
    </row>
    <row r="982" ht="15.75" customHeight="1">
      <c r="P982" s="18"/>
      <c r="S982" s="18"/>
    </row>
    <row r="983" ht="15.75" customHeight="1">
      <c r="P983" s="18"/>
      <c r="S983" s="18"/>
    </row>
    <row r="984" ht="15.75" customHeight="1">
      <c r="P984" s="18"/>
      <c r="S984" s="18"/>
    </row>
    <row r="985" ht="15.75" customHeight="1">
      <c r="P985" s="18"/>
      <c r="S985" s="18"/>
    </row>
    <row r="986" ht="15.75" customHeight="1">
      <c r="P986" s="18"/>
      <c r="S986" s="18"/>
    </row>
    <row r="987" ht="15.75" customHeight="1">
      <c r="P987" s="18"/>
      <c r="S987" s="18"/>
    </row>
    <row r="988" ht="15.75" customHeight="1">
      <c r="P988" s="18"/>
      <c r="S988" s="18"/>
    </row>
    <row r="989" ht="15.75" customHeight="1">
      <c r="P989" s="18"/>
      <c r="S989" s="18"/>
    </row>
    <row r="990" ht="15.75" customHeight="1">
      <c r="P990" s="18"/>
      <c r="S990" s="18"/>
    </row>
    <row r="991" ht="15.75" customHeight="1">
      <c r="P991" s="18"/>
      <c r="S991" s="18"/>
    </row>
    <row r="992" ht="15.75" customHeight="1">
      <c r="P992" s="18"/>
      <c r="S992" s="18"/>
    </row>
    <row r="993" ht="15.75" customHeight="1">
      <c r="P993" s="18"/>
      <c r="S993" s="18"/>
    </row>
    <row r="994" ht="15.75" customHeight="1">
      <c r="P994" s="18"/>
      <c r="S994" s="18"/>
    </row>
    <row r="995" ht="15.75" customHeight="1">
      <c r="P995" s="18"/>
      <c r="S995" s="18"/>
    </row>
    <row r="996" ht="15.75" customHeight="1">
      <c r="P996" s="18"/>
      <c r="S996" s="18"/>
    </row>
    <row r="997" ht="15.75" customHeight="1">
      <c r="P997" s="18"/>
      <c r="S997" s="18"/>
    </row>
    <row r="998" ht="15.75" customHeight="1">
      <c r="P998" s="18"/>
      <c r="S998" s="18"/>
    </row>
  </sheetData>
  <mergeCells count="1">
    <mergeCell ref="A1:T1"/>
  </mergeCells>
  <conditionalFormatting sqref="F9">
    <cfRule type="notContainsBlanks" dxfId="0" priority="1">
      <formula>LEN(TRIM(F9))&gt;0</formula>
    </cfRule>
  </conditionalFormatting>
  <dataValidations>
    <dataValidation type="list" allowBlank="1" sqref="P3:P998">
      <formula1>"1,2,3,4,5"</formula1>
    </dataValidation>
    <dataValidation type="list" allowBlank="1" sqref="L3:L201">
      <formula1>"Yes,No,Unknown"</formula1>
    </dataValidation>
    <dataValidation type="list" allowBlank="1" sqref="Q3:Q10 Q12:Q201">
      <formula1>"Interested,Not Interested,Call Back,Voicemail,No Answer,Wrong Number,Do Not Contact"</formula1>
    </dataValidation>
    <dataValidation type="list" allowBlank="1" sqref="R3:R10 R12:R201">
      <formula1>"Cold,Contacted,Assessing Fit,Space Confirmed,Partnership Discussion,Committed,Closed"</formula1>
    </dataValidation>
    <dataValidation type="list" allowBlank="1" showErrorMessage="1" sqref="S3:S998">
      <formula1>"Yes,No,N/A,Emailed"</formula1>
    </dataValidation>
  </dataValidations>
  <printOptions/>
  <pageMargins bottom="1.0" footer="0.0" header="0.0" left="0.75" right="0.75" top="1.0"/>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62.0"/>
    <col customWidth="1" min="3" max="3" width="29.71"/>
    <col customWidth="1" min="4" max="4" width="8.71"/>
    <col customWidth="1" min="5" max="5" width="20.14"/>
    <col customWidth="1" min="6" max="6" width="61.57"/>
    <col customWidth="1" min="7" max="7" width="36.71"/>
    <col customWidth="1" min="8" max="25" width="8.71"/>
  </cols>
  <sheetData>
    <row r="1" ht="31.5" customHeight="1">
      <c r="A1" s="32" t="s">
        <v>321</v>
      </c>
      <c r="B1" s="3"/>
    </row>
    <row r="3" ht="21.75" customHeight="1">
      <c r="A3" s="33" t="s">
        <v>322</v>
      </c>
      <c r="B3" s="3"/>
      <c r="C3" s="34" t="s">
        <v>323</v>
      </c>
    </row>
    <row r="4" ht="39.75" customHeight="1">
      <c r="A4" s="35" t="s">
        <v>324</v>
      </c>
      <c r="B4" s="36" t="s">
        <v>325</v>
      </c>
    </row>
    <row r="5" ht="49.5" customHeight="1">
      <c r="A5" s="37" t="s">
        <v>326</v>
      </c>
      <c r="B5" s="38" t="s">
        <v>327</v>
      </c>
    </row>
    <row r="6" ht="39.75" customHeight="1">
      <c r="A6" s="37" t="s">
        <v>328</v>
      </c>
      <c r="B6" s="38" t="s">
        <v>329</v>
      </c>
    </row>
    <row r="8" ht="21.75" customHeight="1">
      <c r="A8" s="39" t="s">
        <v>330</v>
      </c>
      <c r="B8" s="3"/>
    </row>
    <row r="9" ht="60.0" customHeight="1">
      <c r="A9" s="40" t="s">
        <v>330</v>
      </c>
      <c r="B9" s="38" t="s">
        <v>331</v>
      </c>
      <c r="C9" s="41"/>
    </row>
    <row r="10" ht="45.0" customHeight="1">
      <c r="A10" s="37" t="s">
        <v>332</v>
      </c>
      <c r="B10" s="38" t="s">
        <v>333</v>
      </c>
      <c r="C10" s="42" t="s">
        <v>334</v>
      </c>
    </row>
    <row r="11" ht="49.5" customHeight="1">
      <c r="A11" s="37" t="s">
        <v>335</v>
      </c>
      <c r="B11" s="38" t="s">
        <v>336</v>
      </c>
      <c r="C11" s="43" t="s">
        <v>337</v>
      </c>
    </row>
    <row r="13" ht="21.75" customHeight="1">
      <c r="A13" s="39" t="s">
        <v>338</v>
      </c>
      <c r="B13" s="3"/>
      <c r="C13" s="44" t="s">
        <v>339</v>
      </c>
    </row>
    <row r="14" ht="45.0" customHeight="1">
      <c r="A14" s="40" t="s">
        <v>340</v>
      </c>
      <c r="B14" s="45" t="s">
        <v>341</v>
      </c>
      <c r="C14" s="46"/>
    </row>
    <row r="15" ht="45.0" customHeight="1">
      <c r="A15" s="40" t="s">
        <v>342</v>
      </c>
      <c r="B15" s="45" t="s">
        <v>343</v>
      </c>
      <c r="C15" s="46"/>
    </row>
    <row r="16" ht="15.75" customHeight="1">
      <c r="A16" s="47"/>
      <c r="C16" s="46"/>
    </row>
    <row r="17" ht="21.75" customHeight="1">
      <c r="A17" s="33" t="s">
        <v>344</v>
      </c>
      <c r="B17" s="3"/>
      <c r="C17" s="48" t="s">
        <v>345</v>
      </c>
    </row>
    <row r="18" ht="60.75" customHeight="1">
      <c r="A18" s="35" t="s">
        <v>346</v>
      </c>
      <c r="B18" s="49" t="s">
        <v>347</v>
      </c>
      <c r="C18" s="46"/>
    </row>
    <row r="19" ht="51.75" customHeight="1">
      <c r="A19" s="37" t="s">
        <v>348</v>
      </c>
      <c r="B19" s="50" t="s">
        <v>349</v>
      </c>
    </row>
    <row r="20" ht="61.5" customHeight="1">
      <c r="A20" s="37" t="s">
        <v>350</v>
      </c>
      <c r="B20" s="50" t="s">
        <v>351</v>
      </c>
    </row>
    <row r="21" ht="60.0" customHeight="1">
      <c r="A21" s="37" t="s">
        <v>352</v>
      </c>
      <c r="B21" s="50" t="s">
        <v>353</v>
      </c>
    </row>
    <row r="22" ht="24.0" customHeight="1"/>
    <row r="23" ht="15.75" customHeight="1">
      <c r="A23" s="33" t="s">
        <v>354</v>
      </c>
      <c r="B23" s="3"/>
    </row>
    <row r="24" ht="15.75" customHeight="1">
      <c r="A24" s="35" t="s">
        <v>355</v>
      </c>
      <c r="B24" s="49" t="s">
        <v>356</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6">
    <mergeCell ref="A1:B1"/>
    <mergeCell ref="A3:B3"/>
    <mergeCell ref="A8:B8"/>
    <mergeCell ref="A13:B13"/>
    <mergeCell ref="A17:B17"/>
    <mergeCell ref="A23:B23"/>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9.0"/>
    <col customWidth="1" min="2" max="2" width="19.14"/>
    <col customWidth="1" min="7" max="7" width="33.0"/>
    <col customWidth="1" min="8" max="8" width="35.29"/>
    <col customWidth="1" min="9" max="9" width="24.86"/>
    <col customWidth="1" min="10" max="10" width="21.29"/>
    <col customWidth="1" min="14" max="14" width="14.71"/>
  </cols>
  <sheetData>
    <row r="1"/>
    <row r="2"/>
    <row r="3"/>
    <row r="4"/>
    <row r="5"/>
    <row r="6"/>
    <row r="7"/>
    <row r="8"/>
    <row r="9"/>
    <row r="10"/>
    <row r="11"/>
    <row r="12"/>
    <row r="13"/>
    <row r="14">
      <c r="I14" s="51"/>
      <c r="J14" s="52"/>
    </row>
    <row r="15">
      <c r="I15" s="51"/>
      <c r="J15" s="52"/>
    </row>
    <row r="16">
      <c r="I16" s="51"/>
      <c r="J16" s="52"/>
    </row>
    <row r="17">
      <c r="I17" s="51"/>
      <c r="J17" s="52"/>
    </row>
    <row r="18">
      <c r="I18" s="51"/>
      <c r="J18" s="52"/>
    </row>
    <row r="19">
      <c r="I19" s="51"/>
      <c r="J19" s="52"/>
    </row>
    <row r="20">
      <c r="I20" s="51"/>
      <c r="J20" s="52"/>
    </row>
    <row r="21">
      <c r="I21" s="51"/>
      <c r="J21" s="52"/>
    </row>
    <row r="22">
      <c r="I22" s="51"/>
      <c r="J22" s="52"/>
    </row>
    <row r="23">
      <c r="I23" s="51"/>
      <c r="J23" s="52"/>
    </row>
    <row r="24">
      <c r="I24" s="51"/>
      <c r="J24" s="52"/>
    </row>
    <row r="25">
      <c r="I25" s="51"/>
      <c r="J25" s="52"/>
    </row>
    <row r="26">
      <c r="I26" s="51"/>
      <c r="J26" s="52"/>
    </row>
    <row r="27">
      <c r="I27" s="51"/>
      <c r="J27" s="52"/>
    </row>
    <row r="28">
      <c r="I28" s="51"/>
      <c r="J28" s="52"/>
    </row>
    <row r="29">
      <c r="I29" s="51"/>
      <c r="J29" s="52"/>
    </row>
    <row r="30">
      <c r="I30" s="51"/>
      <c r="J30" s="52"/>
    </row>
    <row r="31">
      <c r="I31" s="51"/>
      <c r="J31" s="52"/>
    </row>
    <row r="32">
      <c r="I32" s="51"/>
      <c r="J32" s="52"/>
    </row>
    <row r="33">
      <c r="I33" s="51"/>
      <c r="J33" s="52"/>
    </row>
    <row r="34">
      <c r="I34" s="51"/>
      <c r="J34" s="52"/>
    </row>
    <row r="35">
      <c r="I35" s="51"/>
      <c r="J35" s="52"/>
    </row>
    <row r="36">
      <c r="I36" s="51"/>
      <c r="J36" s="52"/>
    </row>
    <row r="37">
      <c r="I37" s="51"/>
      <c r="J37" s="52"/>
    </row>
    <row r="38">
      <c r="I38" s="51"/>
      <c r="J38" s="52"/>
    </row>
    <row r="39">
      <c r="I39" s="51"/>
      <c r="J39" s="52"/>
    </row>
    <row r="40">
      <c r="I40" s="51"/>
      <c r="J40" s="52"/>
    </row>
    <row r="41">
      <c r="I41" s="51"/>
      <c r="J41" s="52"/>
    </row>
    <row r="42">
      <c r="I42" s="51"/>
      <c r="J42" s="52"/>
    </row>
    <row r="43">
      <c r="I43" s="51"/>
      <c r="J43" s="52"/>
    </row>
    <row r="44">
      <c r="I44" s="51"/>
      <c r="J44" s="52"/>
    </row>
    <row r="45">
      <c r="I45" s="51"/>
      <c r="J45" s="52"/>
    </row>
    <row r="46">
      <c r="I46" s="51"/>
      <c r="J46" s="52"/>
    </row>
    <row r="47">
      <c r="I47" s="51"/>
      <c r="J47" s="52"/>
    </row>
    <row r="48">
      <c r="I48" s="51"/>
      <c r="J48" s="52"/>
    </row>
    <row r="49">
      <c r="I49" s="51"/>
      <c r="J49" s="52"/>
    </row>
    <row r="50">
      <c r="I50" s="51"/>
      <c r="J50" s="52"/>
    </row>
    <row r="51">
      <c r="I51" s="51"/>
      <c r="J51" s="52"/>
    </row>
    <row r="52">
      <c r="I52" s="51"/>
      <c r="J52" s="52"/>
    </row>
    <row r="53">
      <c r="I53" s="51"/>
      <c r="J53" s="52"/>
    </row>
    <row r="54">
      <c r="I54" s="51"/>
      <c r="J54" s="52"/>
    </row>
    <row r="55">
      <c r="I55" s="51"/>
      <c r="J55" s="52"/>
    </row>
    <row r="56">
      <c r="I56" s="51"/>
      <c r="J56" s="52"/>
    </row>
    <row r="57">
      <c r="I57" s="51"/>
      <c r="J57" s="52"/>
    </row>
    <row r="58">
      <c r="I58" s="51"/>
      <c r="J58" s="52"/>
    </row>
    <row r="59">
      <c r="I59" s="51"/>
      <c r="J59" s="52"/>
    </row>
    <row r="60">
      <c r="I60" s="51"/>
      <c r="J60" s="52"/>
    </row>
    <row r="61">
      <c r="I61" s="51"/>
      <c r="J61" s="52"/>
    </row>
    <row r="62">
      <c r="I62" s="51"/>
      <c r="J62" s="52"/>
    </row>
    <row r="63">
      <c r="I63" s="51"/>
      <c r="J63" s="52"/>
    </row>
    <row r="64">
      <c r="I64" s="51"/>
      <c r="J64" s="52"/>
    </row>
    <row r="65">
      <c r="I65" s="51"/>
      <c r="J65" s="52"/>
    </row>
    <row r="66">
      <c r="I66" s="51"/>
      <c r="J66" s="52"/>
    </row>
    <row r="67">
      <c r="I67" s="51"/>
      <c r="J67" s="52"/>
    </row>
    <row r="68">
      <c r="I68" s="51"/>
      <c r="J68" s="52"/>
    </row>
    <row r="69">
      <c r="I69" s="51"/>
      <c r="J69" s="52"/>
    </row>
    <row r="70">
      <c r="I70" s="51"/>
      <c r="J70" s="52"/>
    </row>
    <row r="71">
      <c r="I71" s="51"/>
      <c r="J71" s="52"/>
    </row>
    <row r="72">
      <c r="I72" s="51"/>
      <c r="J72" s="52"/>
    </row>
    <row r="73">
      <c r="I73" s="51"/>
      <c r="J73" s="52"/>
    </row>
    <row r="74">
      <c r="I74" s="51"/>
      <c r="J74" s="52"/>
    </row>
    <row r="75">
      <c r="I75" s="51"/>
      <c r="J75" s="52"/>
    </row>
    <row r="76">
      <c r="I76" s="51"/>
      <c r="J76" s="52"/>
    </row>
    <row r="77">
      <c r="I77" s="51"/>
      <c r="J77" s="52"/>
    </row>
    <row r="78">
      <c r="I78" s="51"/>
      <c r="J78" s="52"/>
    </row>
    <row r="79">
      <c r="I79" s="51"/>
      <c r="J79" s="52"/>
    </row>
    <row r="80">
      <c r="I80" s="51"/>
      <c r="J80" s="52"/>
    </row>
    <row r="81">
      <c r="I81" s="51"/>
      <c r="J81" s="52"/>
    </row>
    <row r="82">
      <c r="I82" s="51"/>
      <c r="J82" s="52"/>
    </row>
    <row r="83">
      <c r="I83" s="51"/>
      <c r="J83" s="52"/>
    </row>
    <row r="84">
      <c r="I84" s="51"/>
      <c r="J84" s="52"/>
    </row>
    <row r="85">
      <c r="I85" s="51"/>
      <c r="J85" s="52"/>
    </row>
    <row r="86">
      <c r="I86" s="51"/>
      <c r="J86" s="52"/>
    </row>
    <row r="87">
      <c r="I87" s="51"/>
      <c r="J87" s="52"/>
    </row>
    <row r="88">
      <c r="I88" s="51"/>
      <c r="J88" s="52"/>
    </row>
    <row r="89">
      <c r="I89" s="51"/>
      <c r="J89" s="52"/>
    </row>
    <row r="90">
      <c r="I90" s="51"/>
      <c r="J90" s="52"/>
    </row>
    <row r="91">
      <c r="I91" s="51"/>
      <c r="J91" s="52"/>
    </row>
    <row r="92">
      <c r="I92" s="51"/>
      <c r="J92" s="52"/>
    </row>
    <row r="93">
      <c r="I93" s="51"/>
      <c r="J93" s="52"/>
    </row>
    <row r="94">
      <c r="I94" s="51"/>
      <c r="J94" s="52"/>
    </row>
    <row r="95">
      <c r="I95" s="51"/>
      <c r="J95" s="52"/>
    </row>
    <row r="96">
      <c r="I96" s="51"/>
      <c r="J96" s="52"/>
    </row>
    <row r="97">
      <c r="I97" s="51"/>
      <c r="J97" s="52"/>
    </row>
    <row r="98">
      <c r="I98" s="51"/>
      <c r="J98" s="52"/>
    </row>
    <row r="99">
      <c r="I99" s="51"/>
      <c r="J99" s="52"/>
    </row>
    <row r="100">
      <c r="I100" s="51"/>
      <c r="J100" s="52"/>
    </row>
    <row r="101">
      <c r="I101" s="51"/>
      <c r="J101" s="52"/>
    </row>
    <row r="102">
      <c r="I102" s="51"/>
      <c r="J102" s="52"/>
    </row>
    <row r="103">
      <c r="I103" s="51"/>
      <c r="J103" s="52"/>
    </row>
    <row r="104">
      <c r="I104" s="51"/>
      <c r="J104" s="52"/>
    </row>
    <row r="105">
      <c r="I105" s="51"/>
      <c r="J105" s="52"/>
    </row>
    <row r="106">
      <c r="I106" s="51"/>
      <c r="J106" s="52"/>
    </row>
    <row r="107">
      <c r="I107" s="51"/>
      <c r="J107" s="52"/>
    </row>
    <row r="108">
      <c r="I108" s="51"/>
      <c r="J108" s="52"/>
    </row>
    <row r="109">
      <c r="I109" s="51"/>
      <c r="J109" s="52"/>
    </row>
    <row r="110">
      <c r="I110" s="51"/>
      <c r="J110" s="52"/>
    </row>
    <row r="111">
      <c r="I111" s="51"/>
      <c r="J111" s="52"/>
    </row>
    <row r="112">
      <c r="I112" s="51"/>
      <c r="J112" s="52"/>
    </row>
    <row r="113">
      <c r="I113" s="51"/>
      <c r="J113" s="52"/>
    </row>
    <row r="114">
      <c r="I114" s="51"/>
      <c r="J114" s="52"/>
    </row>
    <row r="115">
      <c r="I115" s="51"/>
      <c r="J115" s="52"/>
    </row>
    <row r="116">
      <c r="I116" s="51"/>
      <c r="J116" s="52"/>
    </row>
    <row r="117">
      <c r="I117" s="51"/>
      <c r="J117" s="52"/>
    </row>
    <row r="118">
      <c r="I118" s="51"/>
      <c r="J118" s="52"/>
    </row>
    <row r="119">
      <c r="I119" s="51"/>
      <c r="J119" s="52"/>
    </row>
    <row r="120">
      <c r="I120" s="51"/>
      <c r="J120" s="52"/>
    </row>
    <row r="121">
      <c r="I121" s="51"/>
      <c r="J121" s="52"/>
    </row>
    <row r="122">
      <c r="I122" s="51"/>
      <c r="J122" s="52"/>
    </row>
    <row r="123">
      <c r="I123" s="51"/>
      <c r="J123" s="52"/>
    </row>
    <row r="124">
      <c r="I124" s="51"/>
      <c r="J124" s="52"/>
    </row>
    <row r="125">
      <c r="I125" s="51"/>
      <c r="J125" s="52"/>
    </row>
    <row r="126">
      <c r="I126" s="51"/>
      <c r="J126" s="52"/>
    </row>
    <row r="127">
      <c r="I127" s="51"/>
      <c r="J127" s="52"/>
    </row>
    <row r="128">
      <c r="I128" s="51"/>
      <c r="J128" s="52"/>
    </row>
    <row r="129">
      <c r="I129" s="51"/>
      <c r="J129" s="52"/>
    </row>
    <row r="130">
      <c r="I130" s="51"/>
      <c r="J130" s="52"/>
    </row>
    <row r="131">
      <c r="I131" s="51"/>
      <c r="J131" s="52"/>
    </row>
    <row r="132">
      <c r="I132" s="51"/>
      <c r="J132" s="52"/>
    </row>
    <row r="133">
      <c r="I133" s="51"/>
      <c r="J133" s="52"/>
    </row>
    <row r="134">
      <c r="I134" s="51"/>
      <c r="J134" s="52"/>
    </row>
    <row r="135">
      <c r="I135" s="51"/>
      <c r="J135" s="52"/>
    </row>
    <row r="136">
      <c r="I136" s="51"/>
      <c r="J136" s="52"/>
    </row>
    <row r="137">
      <c r="I137" s="51"/>
      <c r="J137" s="52"/>
    </row>
    <row r="138">
      <c r="I138" s="51"/>
      <c r="J138" s="52"/>
    </row>
    <row r="139">
      <c r="I139" s="51"/>
      <c r="J139" s="52"/>
    </row>
    <row r="140">
      <c r="I140" s="51"/>
      <c r="J140" s="52"/>
    </row>
    <row r="141">
      <c r="I141" s="51"/>
      <c r="J141" s="52"/>
    </row>
    <row r="142">
      <c r="I142" s="51"/>
      <c r="J142" s="52"/>
    </row>
    <row r="143">
      <c r="I143" s="51"/>
      <c r="J143" s="52"/>
    </row>
    <row r="144">
      <c r="I144" s="51"/>
      <c r="J144" s="52"/>
    </row>
    <row r="145">
      <c r="I145" s="51"/>
      <c r="J145" s="52"/>
    </row>
    <row r="146">
      <c r="I146" s="51"/>
      <c r="J146" s="52"/>
    </row>
    <row r="147">
      <c r="I147" s="51"/>
      <c r="J147" s="52"/>
    </row>
    <row r="148">
      <c r="I148" s="51"/>
      <c r="J148" s="52"/>
    </row>
    <row r="149">
      <c r="I149" s="51"/>
      <c r="J149" s="52"/>
    </row>
    <row r="150">
      <c r="I150" s="51"/>
      <c r="J150" s="52"/>
    </row>
    <row r="151">
      <c r="I151" s="51"/>
      <c r="J151" s="52"/>
    </row>
    <row r="152">
      <c r="I152" s="51"/>
      <c r="J152" s="52"/>
    </row>
    <row r="153">
      <c r="I153" s="51"/>
      <c r="J153" s="52"/>
    </row>
    <row r="154">
      <c r="I154" s="51"/>
      <c r="J154" s="52"/>
    </row>
    <row r="155">
      <c r="I155" s="51"/>
      <c r="J155" s="52"/>
    </row>
    <row r="156">
      <c r="I156" s="51"/>
      <c r="J156" s="52"/>
    </row>
    <row r="157">
      <c r="I157" s="51"/>
      <c r="J157" s="52"/>
    </row>
    <row r="158">
      <c r="I158" s="51"/>
      <c r="J158" s="52"/>
    </row>
    <row r="159">
      <c r="I159" s="51"/>
      <c r="J159" s="52"/>
    </row>
    <row r="160">
      <c r="I160" s="51"/>
      <c r="J160" s="52"/>
    </row>
    <row r="161">
      <c r="I161" s="51"/>
      <c r="J161" s="52"/>
    </row>
    <row r="162">
      <c r="I162" s="51"/>
      <c r="J162" s="52"/>
    </row>
    <row r="163">
      <c r="I163" s="51"/>
      <c r="J163" s="52"/>
    </row>
    <row r="164">
      <c r="I164" s="51"/>
      <c r="J164" s="52"/>
    </row>
    <row r="165">
      <c r="I165" s="51"/>
      <c r="J165" s="52"/>
    </row>
    <row r="166">
      <c r="I166" s="51"/>
      <c r="J166" s="52"/>
    </row>
    <row r="167">
      <c r="I167" s="51"/>
      <c r="J167" s="52"/>
    </row>
    <row r="168">
      <c r="I168" s="51"/>
      <c r="J168" s="52"/>
    </row>
    <row r="169">
      <c r="I169" s="51"/>
      <c r="J169" s="52"/>
    </row>
    <row r="170">
      <c r="I170" s="51"/>
      <c r="J170" s="52"/>
    </row>
    <row r="171">
      <c r="I171" s="51"/>
      <c r="J171" s="52"/>
    </row>
    <row r="172">
      <c r="I172" s="51"/>
      <c r="J172" s="52"/>
    </row>
    <row r="173">
      <c r="I173" s="51"/>
      <c r="J173" s="52"/>
    </row>
    <row r="174">
      <c r="I174" s="51"/>
      <c r="J174" s="52"/>
    </row>
    <row r="175">
      <c r="I175" s="51"/>
      <c r="J175" s="52"/>
    </row>
    <row r="176">
      <c r="I176" s="51"/>
      <c r="J176" s="52"/>
    </row>
    <row r="177">
      <c r="I177" s="51"/>
      <c r="J177" s="52"/>
    </row>
    <row r="178">
      <c r="I178" s="51"/>
      <c r="J178" s="52"/>
    </row>
    <row r="179">
      <c r="I179" s="51"/>
      <c r="J179" s="52"/>
    </row>
    <row r="180">
      <c r="I180" s="51"/>
      <c r="J180" s="52"/>
    </row>
    <row r="181">
      <c r="I181" s="51"/>
      <c r="J181" s="52"/>
    </row>
    <row r="182">
      <c r="I182" s="51"/>
      <c r="J182" s="52"/>
    </row>
    <row r="183">
      <c r="I183" s="51"/>
      <c r="J183" s="52"/>
    </row>
    <row r="184">
      <c r="I184" s="51"/>
      <c r="J184" s="52"/>
    </row>
    <row r="185">
      <c r="I185" s="51"/>
      <c r="J185" s="52"/>
    </row>
    <row r="186">
      <c r="I186" s="51"/>
      <c r="J186" s="52"/>
    </row>
    <row r="187">
      <c r="I187" s="51"/>
      <c r="J187" s="52"/>
    </row>
    <row r="188">
      <c r="I188" s="51"/>
      <c r="J188" s="52"/>
    </row>
    <row r="189">
      <c r="I189" s="51"/>
      <c r="J189" s="52"/>
    </row>
    <row r="190">
      <c r="I190" s="51"/>
      <c r="J190" s="52"/>
    </row>
    <row r="191">
      <c r="I191" s="51"/>
      <c r="J191" s="52"/>
    </row>
    <row r="192">
      <c r="I192" s="51"/>
      <c r="J192" s="52"/>
    </row>
    <row r="193">
      <c r="I193" s="51"/>
      <c r="J193" s="52"/>
    </row>
    <row r="194">
      <c r="I194" s="51"/>
      <c r="J194" s="52"/>
    </row>
    <row r="195">
      <c r="I195" s="51"/>
      <c r="J195" s="52"/>
    </row>
    <row r="196">
      <c r="I196" s="51"/>
      <c r="J196" s="52"/>
    </row>
    <row r="197">
      <c r="I197" s="51"/>
      <c r="J197" s="52"/>
    </row>
    <row r="198">
      <c r="I198" s="51"/>
      <c r="J198" s="52"/>
    </row>
    <row r="199">
      <c r="I199" s="51"/>
      <c r="J199" s="52"/>
    </row>
    <row r="200">
      <c r="I200" s="51"/>
      <c r="J200" s="52"/>
    </row>
    <row r="201">
      <c r="I201" s="51"/>
      <c r="J201" s="52"/>
    </row>
    <row r="202">
      <c r="I202" s="51"/>
      <c r="J202" s="52"/>
    </row>
    <row r="203">
      <c r="I203" s="51"/>
      <c r="J203" s="52"/>
    </row>
    <row r="204">
      <c r="I204" s="51"/>
      <c r="J204" s="52"/>
    </row>
    <row r="205">
      <c r="I205" s="51"/>
      <c r="J205" s="52"/>
    </row>
    <row r="206">
      <c r="I206" s="51"/>
      <c r="J206" s="52"/>
    </row>
    <row r="207">
      <c r="I207" s="51"/>
      <c r="J207" s="52"/>
    </row>
    <row r="208">
      <c r="I208" s="51"/>
      <c r="J208" s="52"/>
    </row>
    <row r="209">
      <c r="I209" s="51"/>
      <c r="J209" s="52"/>
    </row>
    <row r="210">
      <c r="I210" s="51"/>
      <c r="J210" s="52"/>
    </row>
    <row r="211">
      <c r="I211" s="51"/>
      <c r="J211" s="52"/>
    </row>
    <row r="212">
      <c r="I212" s="51"/>
      <c r="J212" s="52"/>
    </row>
    <row r="213">
      <c r="I213" s="51"/>
      <c r="J213" s="52"/>
    </row>
    <row r="214">
      <c r="I214" s="51"/>
      <c r="J214" s="52"/>
    </row>
    <row r="215">
      <c r="I215" s="51"/>
      <c r="J215" s="52"/>
    </row>
    <row r="216">
      <c r="I216" s="51"/>
      <c r="J216" s="52"/>
    </row>
    <row r="217">
      <c r="I217" s="51"/>
      <c r="J217" s="52"/>
    </row>
    <row r="218">
      <c r="I218" s="51"/>
      <c r="J218" s="52"/>
    </row>
    <row r="219">
      <c r="I219" s="51"/>
      <c r="J219" s="52"/>
    </row>
    <row r="220">
      <c r="I220" s="51"/>
      <c r="J220" s="52"/>
    </row>
    <row r="221">
      <c r="I221" s="51"/>
      <c r="J221" s="52"/>
    </row>
    <row r="222">
      <c r="I222" s="51"/>
      <c r="J222" s="52"/>
    </row>
    <row r="223">
      <c r="I223" s="51"/>
      <c r="J223" s="52"/>
    </row>
    <row r="224">
      <c r="I224" s="51"/>
      <c r="J224" s="52"/>
    </row>
    <row r="225">
      <c r="I225" s="51"/>
      <c r="J225" s="52"/>
    </row>
    <row r="226">
      <c r="I226" s="51"/>
      <c r="J226" s="52"/>
    </row>
    <row r="227">
      <c r="I227" s="51"/>
      <c r="J227" s="52"/>
    </row>
    <row r="228">
      <c r="I228" s="51"/>
      <c r="J228" s="52"/>
    </row>
    <row r="229">
      <c r="I229" s="51"/>
      <c r="J229" s="52"/>
    </row>
    <row r="230">
      <c r="I230" s="51"/>
      <c r="J230" s="52"/>
    </row>
    <row r="231">
      <c r="I231" s="51"/>
      <c r="J231" s="52"/>
    </row>
    <row r="232">
      <c r="I232" s="51"/>
      <c r="J232" s="52"/>
    </row>
    <row r="233">
      <c r="I233" s="51"/>
      <c r="J233" s="52"/>
    </row>
    <row r="234">
      <c r="I234" s="51"/>
      <c r="J234" s="52"/>
    </row>
    <row r="235">
      <c r="I235" s="51"/>
      <c r="J235" s="52"/>
    </row>
    <row r="236">
      <c r="I236" s="51"/>
      <c r="J236" s="52"/>
    </row>
    <row r="237">
      <c r="I237" s="51"/>
      <c r="J237" s="52"/>
    </row>
    <row r="238">
      <c r="I238" s="51"/>
      <c r="J238" s="52"/>
    </row>
    <row r="239">
      <c r="I239" s="51"/>
      <c r="J239" s="52"/>
    </row>
    <row r="240">
      <c r="I240" s="51"/>
      <c r="J240" s="52"/>
    </row>
    <row r="241">
      <c r="I241" s="51"/>
      <c r="J241" s="52"/>
    </row>
    <row r="242">
      <c r="I242" s="51"/>
      <c r="J242" s="52"/>
    </row>
    <row r="243">
      <c r="I243" s="51"/>
      <c r="J243" s="52"/>
    </row>
    <row r="244">
      <c r="I244" s="51"/>
      <c r="J244" s="52"/>
    </row>
    <row r="245">
      <c r="I245" s="51"/>
      <c r="J245" s="52"/>
    </row>
    <row r="246">
      <c r="I246" s="51"/>
      <c r="J246" s="52"/>
    </row>
    <row r="247">
      <c r="I247" s="51"/>
      <c r="J247" s="52"/>
    </row>
    <row r="248">
      <c r="I248" s="51"/>
      <c r="J248" s="52"/>
    </row>
    <row r="249">
      <c r="I249" s="51"/>
      <c r="J249" s="52"/>
    </row>
    <row r="250">
      <c r="I250" s="51"/>
      <c r="J250" s="52"/>
    </row>
    <row r="251">
      <c r="I251" s="51"/>
      <c r="J251" s="52"/>
    </row>
    <row r="252">
      <c r="I252" s="51"/>
      <c r="J252" s="52"/>
    </row>
    <row r="253">
      <c r="I253" s="51"/>
      <c r="J253" s="52"/>
    </row>
    <row r="254">
      <c r="I254" s="51"/>
      <c r="J254" s="52"/>
    </row>
    <row r="255">
      <c r="I255" s="51"/>
      <c r="J255" s="52"/>
    </row>
    <row r="256">
      <c r="I256" s="51"/>
      <c r="J256" s="52"/>
    </row>
    <row r="257">
      <c r="I257" s="51"/>
      <c r="J257" s="52"/>
    </row>
    <row r="258">
      <c r="I258" s="51"/>
      <c r="J258" s="52"/>
    </row>
    <row r="259">
      <c r="I259" s="51"/>
      <c r="J259" s="52"/>
    </row>
    <row r="260">
      <c r="I260" s="51"/>
      <c r="J260" s="52"/>
    </row>
    <row r="261">
      <c r="I261" s="51"/>
      <c r="J261" s="52"/>
    </row>
    <row r="262">
      <c r="I262" s="51"/>
      <c r="J262" s="52"/>
    </row>
    <row r="263">
      <c r="I263" s="51"/>
      <c r="J263" s="52"/>
    </row>
    <row r="264">
      <c r="I264" s="51"/>
      <c r="J264" s="52"/>
    </row>
    <row r="265">
      <c r="I265" s="51"/>
      <c r="J265" s="52"/>
    </row>
    <row r="266">
      <c r="I266" s="51"/>
      <c r="J266" s="52"/>
    </row>
    <row r="267">
      <c r="I267" s="51"/>
      <c r="J267" s="52"/>
    </row>
    <row r="268">
      <c r="I268" s="51"/>
      <c r="J268" s="52"/>
    </row>
    <row r="269">
      <c r="I269" s="51"/>
      <c r="J269" s="52"/>
    </row>
    <row r="270">
      <c r="I270" s="51"/>
      <c r="J270" s="52"/>
    </row>
    <row r="271">
      <c r="I271" s="51"/>
      <c r="J271" s="52"/>
    </row>
    <row r="272">
      <c r="I272" s="51"/>
      <c r="J272" s="52"/>
    </row>
    <row r="273">
      <c r="I273" s="51"/>
      <c r="J273" s="52"/>
    </row>
    <row r="274">
      <c r="I274" s="51"/>
      <c r="J274" s="52"/>
    </row>
    <row r="275">
      <c r="I275" s="51"/>
      <c r="J275" s="52"/>
    </row>
    <row r="276">
      <c r="I276" s="51"/>
      <c r="J276" s="52"/>
    </row>
    <row r="277">
      <c r="I277" s="51"/>
      <c r="J277" s="52"/>
    </row>
    <row r="278">
      <c r="I278" s="51"/>
      <c r="J278" s="52"/>
    </row>
    <row r="279">
      <c r="I279" s="51"/>
      <c r="J279" s="52"/>
    </row>
    <row r="280">
      <c r="I280" s="51"/>
      <c r="J280" s="52"/>
    </row>
    <row r="281">
      <c r="I281" s="51"/>
      <c r="J281" s="52"/>
    </row>
    <row r="282">
      <c r="I282" s="51"/>
      <c r="J282" s="52"/>
    </row>
    <row r="283">
      <c r="I283" s="51"/>
      <c r="J283" s="52"/>
    </row>
    <row r="284">
      <c r="I284" s="51"/>
      <c r="J284" s="52"/>
    </row>
    <row r="285">
      <c r="I285" s="51"/>
      <c r="J285" s="52"/>
    </row>
    <row r="286">
      <c r="I286" s="51"/>
      <c r="J286" s="52"/>
    </row>
    <row r="287">
      <c r="I287" s="51"/>
      <c r="J287" s="52"/>
    </row>
    <row r="288">
      <c r="I288" s="51"/>
      <c r="J288" s="52"/>
    </row>
    <row r="289">
      <c r="I289" s="51"/>
      <c r="J289" s="52"/>
    </row>
    <row r="290">
      <c r="I290" s="51"/>
      <c r="J290" s="52"/>
    </row>
    <row r="291">
      <c r="I291" s="51"/>
      <c r="J291" s="52"/>
    </row>
    <row r="292">
      <c r="I292" s="51"/>
      <c r="J292" s="52"/>
    </row>
    <row r="293">
      <c r="I293" s="51"/>
      <c r="J293" s="52"/>
    </row>
    <row r="294">
      <c r="I294" s="51"/>
      <c r="J294" s="52"/>
    </row>
    <row r="295">
      <c r="I295" s="51"/>
      <c r="J295" s="52"/>
    </row>
    <row r="296">
      <c r="I296" s="51"/>
      <c r="J296" s="52"/>
    </row>
    <row r="297">
      <c r="I297" s="51"/>
      <c r="J297" s="52"/>
    </row>
    <row r="298">
      <c r="I298" s="51"/>
      <c r="J298" s="52"/>
    </row>
    <row r="299">
      <c r="I299" s="51"/>
      <c r="J299" s="52"/>
    </row>
    <row r="300">
      <c r="I300" s="51"/>
      <c r="J300" s="52"/>
    </row>
    <row r="301">
      <c r="I301" s="51"/>
      <c r="J301" s="52"/>
    </row>
    <row r="302">
      <c r="I302" s="51"/>
      <c r="J302" s="52"/>
    </row>
    <row r="303">
      <c r="I303" s="51"/>
      <c r="J303" s="52"/>
    </row>
    <row r="304">
      <c r="I304" s="51"/>
      <c r="J304" s="52"/>
    </row>
    <row r="305">
      <c r="I305" s="51"/>
      <c r="J305" s="52"/>
    </row>
    <row r="306">
      <c r="I306" s="51"/>
      <c r="J306" s="52"/>
    </row>
    <row r="307">
      <c r="I307" s="51"/>
      <c r="J307" s="52"/>
    </row>
    <row r="308">
      <c r="I308" s="51"/>
      <c r="J308" s="52"/>
    </row>
    <row r="309">
      <c r="I309" s="51"/>
      <c r="J309" s="52"/>
    </row>
    <row r="310">
      <c r="I310" s="51"/>
      <c r="J310" s="52"/>
    </row>
    <row r="311">
      <c r="I311" s="51"/>
      <c r="J311" s="52"/>
    </row>
    <row r="312">
      <c r="I312" s="51"/>
      <c r="J312" s="52"/>
    </row>
    <row r="313">
      <c r="I313" s="51"/>
      <c r="J313" s="52"/>
    </row>
    <row r="314">
      <c r="I314" s="51"/>
      <c r="J314" s="52"/>
    </row>
    <row r="315">
      <c r="I315" s="51"/>
      <c r="J315" s="52"/>
    </row>
    <row r="316">
      <c r="I316" s="51"/>
      <c r="J316" s="52"/>
    </row>
    <row r="317">
      <c r="I317" s="51"/>
      <c r="J317" s="52"/>
    </row>
    <row r="318">
      <c r="I318" s="51"/>
      <c r="J318" s="52"/>
    </row>
    <row r="319">
      <c r="I319" s="51"/>
      <c r="J319" s="52"/>
    </row>
    <row r="320">
      <c r="I320" s="51"/>
      <c r="J320" s="52"/>
    </row>
    <row r="321">
      <c r="I321" s="51"/>
      <c r="J321" s="52"/>
    </row>
    <row r="322">
      <c r="I322" s="51"/>
      <c r="J322" s="52"/>
    </row>
    <row r="323">
      <c r="I323" s="51"/>
      <c r="J323" s="52"/>
    </row>
    <row r="324">
      <c r="I324" s="51"/>
      <c r="J324" s="52"/>
    </row>
    <row r="325">
      <c r="I325" s="51"/>
      <c r="J325" s="52"/>
    </row>
    <row r="326">
      <c r="I326" s="51"/>
      <c r="J326" s="52"/>
    </row>
    <row r="327">
      <c r="I327" s="51"/>
      <c r="J327" s="52"/>
    </row>
    <row r="328">
      <c r="I328" s="51"/>
      <c r="J328" s="52"/>
    </row>
    <row r="329">
      <c r="I329" s="51"/>
      <c r="J329" s="52"/>
    </row>
    <row r="330">
      <c r="I330" s="51"/>
      <c r="J330" s="52"/>
    </row>
    <row r="331">
      <c r="I331" s="51"/>
      <c r="J331" s="52"/>
    </row>
    <row r="332">
      <c r="I332" s="51"/>
      <c r="J332" s="52"/>
    </row>
    <row r="333">
      <c r="I333" s="51"/>
      <c r="J333" s="52"/>
    </row>
    <row r="334">
      <c r="I334" s="51"/>
      <c r="J334" s="52"/>
    </row>
    <row r="335">
      <c r="I335" s="51"/>
      <c r="J335" s="52"/>
    </row>
    <row r="336">
      <c r="I336" s="51"/>
      <c r="J336" s="52"/>
    </row>
    <row r="337">
      <c r="I337" s="51"/>
      <c r="J337" s="52"/>
    </row>
    <row r="338">
      <c r="I338" s="51"/>
      <c r="J338" s="52"/>
    </row>
    <row r="339">
      <c r="I339" s="51"/>
      <c r="J339" s="52"/>
    </row>
    <row r="340">
      <c r="I340" s="51"/>
      <c r="J340" s="52"/>
    </row>
    <row r="341">
      <c r="I341" s="51"/>
      <c r="J341" s="52"/>
    </row>
    <row r="342">
      <c r="I342" s="51"/>
      <c r="J342" s="52"/>
    </row>
    <row r="343">
      <c r="I343" s="51"/>
      <c r="J343" s="52"/>
    </row>
    <row r="344">
      <c r="I344" s="51"/>
      <c r="J344" s="52"/>
    </row>
    <row r="345">
      <c r="I345" s="51"/>
      <c r="J345" s="52"/>
    </row>
    <row r="346">
      <c r="I346" s="51"/>
      <c r="J346" s="52"/>
    </row>
    <row r="347">
      <c r="I347" s="51"/>
      <c r="J347" s="52"/>
    </row>
    <row r="348">
      <c r="I348" s="51"/>
      <c r="J348" s="52"/>
    </row>
    <row r="349">
      <c r="I349" s="51"/>
      <c r="J349" s="52"/>
    </row>
    <row r="350">
      <c r="I350" s="51"/>
      <c r="J350" s="52"/>
    </row>
    <row r="351">
      <c r="I351" s="51"/>
      <c r="J351" s="52"/>
    </row>
    <row r="352">
      <c r="I352" s="51"/>
      <c r="J352" s="52"/>
    </row>
    <row r="353">
      <c r="I353" s="51"/>
      <c r="J353" s="52"/>
    </row>
    <row r="354">
      <c r="I354" s="51"/>
      <c r="J354" s="52"/>
    </row>
    <row r="355">
      <c r="I355" s="51"/>
      <c r="J355" s="52"/>
    </row>
    <row r="356">
      <c r="I356" s="51"/>
      <c r="J356" s="52"/>
    </row>
    <row r="357">
      <c r="I357" s="51"/>
      <c r="J357" s="52"/>
    </row>
    <row r="358">
      <c r="I358" s="51"/>
      <c r="J358" s="52"/>
    </row>
    <row r="359">
      <c r="I359" s="51"/>
      <c r="J359" s="52"/>
    </row>
    <row r="360">
      <c r="I360" s="51"/>
      <c r="J360" s="52"/>
    </row>
    <row r="361">
      <c r="I361" s="51"/>
      <c r="J361" s="52"/>
    </row>
    <row r="362">
      <c r="I362" s="51"/>
      <c r="J362" s="52"/>
    </row>
    <row r="363">
      <c r="I363" s="51"/>
      <c r="J363" s="52"/>
    </row>
    <row r="364">
      <c r="I364" s="51"/>
      <c r="J364" s="52"/>
    </row>
    <row r="365">
      <c r="I365" s="51"/>
      <c r="J365" s="52"/>
    </row>
    <row r="366">
      <c r="I366" s="51"/>
      <c r="J366" s="52"/>
    </row>
    <row r="367">
      <c r="I367" s="51"/>
      <c r="J367" s="52"/>
    </row>
    <row r="368">
      <c r="I368" s="51"/>
      <c r="J368" s="52"/>
    </row>
    <row r="369">
      <c r="I369" s="51"/>
      <c r="J369" s="52"/>
    </row>
    <row r="370">
      <c r="I370" s="51"/>
      <c r="J370" s="52"/>
    </row>
    <row r="371">
      <c r="I371" s="51"/>
      <c r="J371" s="52"/>
    </row>
    <row r="372">
      <c r="I372" s="51"/>
      <c r="J372" s="52"/>
    </row>
    <row r="373">
      <c r="I373" s="51"/>
      <c r="J373" s="52"/>
    </row>
    <row r="374">
      <c r="I374" s="51"/>
      <c r="J374" s="52"/>
    </row>
    <row r="375">
      <c r="I375" s="51"/>
      <c r="J375" s="52"/>
    </row>
    <row r="376">
      <c r="I376" s="51"/>
      <c r="J376" s="52"/>
    </row>
    <row r="377">
      <c r="I377" s="51"/>
      <c r="J377" s="52"/>
    </row>
    <row r="378">
      <c r="I378" s="51"/>
      <c r="J378" s="52"/>
    </row>
    <row r="379">
      <c r="I379" s="51"/>
      <c r="J379" s="52"/>
    </row>
    <row r="380">
      <c r="I380" s="51"/>
      <c r="J380" s="52"/>
    </row>
    <row r="381">
      <c r="I381" s="51"/>
      <c r="J381" s="52"/>
    </row>
    <row r="382">
      <c r="I382" s="51"/>
      <c r="J382" s="52"/>
    </row>
    <row r="383">
      <c r="I383" s="51"/>
      <c r="J383" s="52"/>
    </row>
    <row r="384">
      <c r="I384" s="51"/>
      <c r="J384" s="52"/>
    </row>
    <row r="385">
      <c r="I385" s="51"/>
      <c r="J385" s="52"/>
    </row>
    <row r="386">
      <c r="I386" s="51"/>
      <c r="J386" s="52"/>
    </row>
    <row r="387">
      <c r="I387" s="51"/>
      <c r="J387" s="52"/>
    </row>
    <row r="388">
      <c r="I388" s="51"/>
      <c r="J388" s="52"/>
    </row>
    <row r="389">
      <c r="I389" s="51"/>
      <c r="J389" s="52"/>
    </row>
    <row r="390">
      <c r="I390" s="51"/>
      <c r="J390" s="52"/>
    </row>
    <row r="391">
      <c r="I391" s="51"/>
      <c r="J391" s="52"/>
    </row>
    <row r="392">
      <c r="I392" s="51"/>
      <c r="J392" s="52"/>
    </row>
    <row r="393">
      <c r="I393" s="51"/>
      <c r="J393" s="52"/>
    </row>
    <row r="394">
      <c r="I394" s="51"/>
      <c r="J394" s="52"/>
    </row>
    <row r="395">
      <c r="I395" s="51"/>
      <c r="J395" s="52"/>
    </row>
    <row r="396">
      <c r="I396" s="51"/>
      <c r="J396" s="52"/>
    </row>
    <row r="397">
      <c r="I397" s="51"/>
      <c r="J397" s="52"/>
    </row>
    <row r="398">
      <c r="I398" s="51"/>
      <c r="J398" s="52"/>
    </row>
    <row r="399">
      <c r="I399" s="51"/>
      <c r="J399" s="52"/>
    </row>
    <row r="400">
      <c r="I400" s="51"/>
      <c r="J400" s="52"/>
    </row>
    <row r="401">
      <c r="I401" s="51"/>
      <c r="J401" s="52"/>
    </row>
    <row r="402">
      <c r="I402" s="51"/>
      <c r="J402" s="52"/>
    </row>
    <row r="403">
      <c r="I403" s="51"/>
      <c r="J403" s="52"/>
    </row>
    <row r="404">
      <c r="I404" s="51"/>
      <c r="J404" s="52"/>
    </row>
    <row r="405">
      <c r="I405" s="51"/>
      <c r="J405" s="52"/>
    </row>
    <row r="406">
      <c r="I406" s="51"/>
      <c r="J406" s="52"/>
    </row>
    <row r="407">
      <c r="I407" s="51"/>
      <c r="J407" s="52"/>
    </row>
    <row r="408">
      <c r="I408" s="51"/>
      <c r="J408" s="52"/>
    </row>
    <row r="409">
      <c r="I409" s="51"/>
      <c r="J409" s="52"/>
    </row>
    <row r="410">
      <c r="I410" s="51"/>
      <c r="J410" s="52"/>
    </row>
    <row r="411">
      <c r="I411" s="51"/>
      <c r="J411" s="52"/>
    </row>
    <row r="412">
      <c r="I412" s="51"/>
      <c r="J412" s="52"/>
    </row>
    <row r="413">
      <c r="I413" s="51"/>
      <c r="J413" s="52"/>
    </row>
    <row r="414">
      <c r="I414" s="51"/>
      <c r="J414" s="52"/>
    </row>
    <row r="415">
      <c r="I415" s="51"/>
      <c r="J415" s="52"/>
    </row>
    <row r="416">
      <c r="I416" s="51"/>
      <c r="J416" s="52"/>
    </row>
    <row r="417">
      <c r="I417" s="51"/>
      <c r="J417" s="52"/>
    </row>
    <row r="418">
      <c r="I418" s="51"/>
      <c r="J418" s="52"/>
    </row>
    <row r="419">
      <c r="I419" s="51"/>
      <c r="J419" s="52"/>
    </row>
    <row r="420">
      <c r="I420" s="51"/>
      <c r="J420" s="52"/>
    </row>
    <row r="421">
      <c r="I421" s="51"/>
      <c r="J421" s="52"/>
    </row>
    <row r="422">
      <c r="I422" s="51"/>
      <c r="J422" s="52"/>
    </row>
    <row r="423">
      <c r="I423" s="51"/>
      <c r="J423" s="52"/>
    </row>
    <row r="424">
      <c r="I424" s="51"/>
      <c r="J424" s="52"/>
    </row>
    <row r="425">
      <c r="I425" s="51"/>
      <c r="J425" s="52"/>
    </row>
    <row r="426">
      <c r="I426" s="51"/>
      <c r="J426" s="52"/>
    </row>
    <row r="427">
      <c r="I427" s="51"/>
      <c r="J427" s="52"/>
    </row>
    <row r="428">
      <c r="I428" s="51"/>
      <c r="J428" s="52"/>
    </row>
    <row r="429">
      <c r="I429" s="51"/>
      <c r="J429" s="52"/>
    </row>
    <row r="430">
      <c r="I430" s="51"/>
      <c r="J430" s="52"/>
    </row>
    <row r="431">
      <c r="I431" s="51"/>
      <c r="J431" s="52"/>
    </row>
    <row r="432">
      <c r="I432" s="51"/>
      <c r="J432" s="52"/>
    </row>
    <row r="433">
      <c r="I433" s="51"/>
      <c r="J433" s="52"/>
    </row>
    <row r="434">
      <c r="I434" s="51"/>
      <c r="J434" s="52"/>
    </row>
    <row r="435">
      <c r="I435" s="51"/>
      <c r="J435" s="52"/>
    </row>
    <row r="436">
      <c r="I436" s="51"/>
      <c r="J436" s="52"/>
    </row>
    <row r="437">
      <c r="I437" s="51"/>
      <c r="J437" s="52"/>
    </row>
    <row r="438">
      <c r="I438" s="51"/>
      <c r="J438" s="52"/>
    </row>
    <row r="439">
      <c r="I439" s="51"/>
      <c r="J439" s="52"/>
    </row>
    <row r="440">
      <c r="I440" s="51"/>
      <c r="J440" s="52"/>
    </row>
    <row r="441">
      <c r="I441" s="51"/>
      <c r="J441" s="52"/>
    </row>
    <row r="442">
      <c r="I442" s="51"/>
      <c r="J442" s="52"/>
    </row>
    <row r="443">
      <c r="I443" s="51"/>
      <c r="J443" s="52"/>
    </row>
    <row r="444">
      <c r="I444" s="51"/>
      <c r="J444" s="52"/>
    </row>
    <row r="445">
      <c r="I445" s="51"/>
      <c r="J445" s="52"/>
    </row>
    <row r="446">
      <c r="I446" s="51"/>
      <c r="J446" s="52"/>
    </row>
    <row r="447">
      <c r="I447" s="51"/>
      <c r="J447" s="52"/>
    </row>
    <row r="448">
      <c r="I448" s="51"/>
      <c r="J448" s="52"/>
    </row>
    <row r="449">
      <c r="I449" s="51"/>
      <c r="J449" s="52"/>
    </row>
    <row r="450">
      <c r="I450" s="51"/>
      <c r="J450" s="52"/>
    </row>
    <row r="451">
      <c r="I451" s="51"/>
      <c r="J451" s="52"/>
    </row>
    <row r="452">
      <c r="I452" s="51"/>
      <c r="J452" s="52"/>
    </row>
    <row r="453">
      <c r="I453" s="51"/>
      <c r="J453" s="52"/>
    </row>
    <row r="454">
      <c r="I454" s="51"/>
      <c r="J454" s="52"/>
    </row>
    <row r="455">
      <c r="I455" s="51"/>
      <c r="J455" s="52"/>
    </row>
    <row r="456">
      <c r="I456" s="51"/>
      <c r="J456" s="52"/>
    </row>
    <row r="457">
      <c r="I457" s="51"/>
      <c r="J457" s="52"/>
    </row>
    <row r="458">
      <c r="I458" s="51"/>
      <c r="J458" s="52"/>
    </row>
    <row r="459">
      <c r="I459" s="51"/>
      <c r="J459" s="52"/>
    </row>
    <row r="460">
      <c r="I460" s="51"/>
      <c r="J460" s="52"/>
    </row>
    <row r="461">
      <c r="I461" s="51"/>
      <c r="J461" s="52"/>
    </row>
    <row r="462">
      <c r="I462" s="51"/>
      <c r="J462" s="52"/>
    </row>
    <row r="463">
      <c r="I463" s="51"/>
      <c r="J463" s="52"/>
    </row>
    <row r="464">
      <c r="I464" s="51"/>
      <c r="J464" s="52"/>
    </row>
    <row r="465">
      <c r="I465" s="51"/>
      <c r="J465" s="52"/>
    </row>
    <row r="466">
      <c r="I466" s="51"/>
      <c r="J466" s="52"/>
    </row>
    <row r="467">
      <c r="I467" s="51"/>
      <c r="J467" s="52"/>
    </row>
    <row r="468">
      <c r="I468" s="51"/>
      <c r="J468" s="52"/>
    </row>
    <row r="469">
      <c r="I469" s="51"/>
      <c r="J469" s="52"/>
    </row>
    <row r="470">
      <c r="I470" s="51"/>
      <c r="J470" s="52"/>
    </row>
    <row r="471">
      <c r="I471" s="51"/>
      <c r="J471" s="52"/>
    </row>
    <row r="472">
      <c r="I472" s="51"/>
      <c r="J472" s="52"/>
    </row>
    <row r="473">
      <c r="I473" s="51"/>
      <c r="J473" s="52"/>
    </row>
    <row r="474">
      <c r="I474" s="51"/>
      <c r="J474" s="52"/>
    </row>
    <row r="475">
      <c r="I475" s="51"/>
      <c r="J475" s="52"/>
    </row>
    <row r="476">
      <c r="I476" s="51"/>
      <c r="J476" s="52"/>
    </row>
    <row r="477">
      <c r="I477" s="51"/>
      <c r="J477" s="52"/>
    </row>
    <row r="478">
      <c r="I478" s="51"/>
      <c r="J478" s="52"/>
    </row>
    <row r="479">
      <c r="I479" s="51"/>
      <c r="J479" s="52"/>
    </row>
    <row r="480">
      <c r="I480" s="51"/>
      <c r="J480" s="52"/>
    </row>
    <row r="481">
      <c r="I481" s="51"/>
      <c r="J481" s="52"/>
    </row>
    <row r="482">
      <c r="I482" s="51"/>
      <c r="J482" s="52"/>
    </row>
    <row r="483">
      <c r="I483" s="51"/>
      <c r="J483" s="52"/>
    </row>
    <row r="484">
      <c r="I484" s="51"/>
      <c r="J484" s="52"/>
    </row>
    <row r="485">
      <c r="I485" s="51"/>
      <c r="J485" s="52"/>
    </row>
    <row r="486">
      <c r="I486" s="51"/>
      <c r="J486" s="52"/>
    </row>
    <row r="487">
      <c r="I487" s="51"/>
      <c r="J487" s="52"/>
    </row>
    <row r="488">
      <c r="I488" s="51"/>
      <c r="J488" s="52"/>
    </row>
    <row r="489">
      <c r="I489" s="51"/>
      <c r="J489" s="52"/>
    </row>
    <row r="490">
      <c r="I490" s="51"/>
      <c r="J490" s="52"/>
    </row>
    <row r="491">
      <c r="I491" s="51"/>
      <c r="J491" s="52"/>
    </row>
    <row r="492">
      <c r="I492" s="51"/>
      <c r="J492" s="52"/>
    </row>
    <row r="493">
      <c r="I493" s="51"/>
      <c r="J493" s="52"/>
    </row>
    <row r="494">
      <c r="I494" s="51"/>
      <c r="J494" s="52"/>
    </row>
    <row r="495">
      <c r="I495" s="51"/>
      <c r="J495" s="52"/>
    </row>
    <row r="496">
      <c r="I496" s="51"/>
      <c r="J496" s="52"/>
    </row>
    <row r="497">
      <c r="I497" s="51"/>
      <c r="J497" s="52"/>
    </row>
    <row r="498">
      <c r="I498" s="51"/>
      <c r="J498" s="52"/>
    </row>
    <row r="499">
      <c r="I499" s="51"/>
      <c r="J499" s="52"/>
    </row>
    <row r="500">
      <c r="I500" s="51"/>
      <c r="J500" s="52"/>
    </row>
    <row r="501">
      <c r="I501" s="51"/>
      <c r="J501" s="52"/>
    </row>
    <row r="502">
      <c r="I502" s="51"/>
      <c r="J502" s="52"/>
    </row>
    <row r="503">
      <c r="I503" s="51"/>
      <c r="J503" s="52"/>
    </row>
    <row r="504">
      <c r="I504" s="51"/>
      <c r="J504" s="52"/>
    </row>
    <row r="505">
      <c r="I505" s="51"/>
      <c r="J505" s="52"/>
    </row>
    <row r="506">
      <c r="I506" s="51"/>
      <c r="J506" s="52"/>
    </row>
    <row r="507">
      <c r="I507" s="51"/>
      <c r="J507" s="52"/>
    </row>
    <row r="508">
      <c r="I508" s="51"/>
      <c r="J508" s="52"/>
    </row>
    <row r="509">
      <c r="I509" s="51"/>
      <c r="J509" s="52"/>
    </row>
    <row r="510">
      <c r="I510" s="51"/>
      <c r="J510" s="52"/>
    </row>
    <row r="511">
      <c r="I511" s="51"/>
      <c r="J511" s="52"/>
    </row>
    <row r="512">
      <c r="I512" s="51"/>
      <c r="J512" s="52"/>
    </row>
    <row r="513">
      <c r="I513" s="51"/>
      <c r="J513" s="52"/>
    </row>
    <row r="514">
      <c r="I514" s="51"/>
      <c r="J514" s="52"/>
    </row>
    <row r="515">
      <c r="I515" s="51"/>
      <c r="J515" s="52"/>
    </row>
    <row r="516">
      <c r="I516" s="51"/>
      <c r="J516" s="52"/>
    </row>
    <row r="517">
      <c r="I517" s="51"/>
      <c r="J517" s="52"/>
    </row>
    <row r="518">
      <c r="I518" s="51"/>
      <c r="J518" s="52"/>
    </row>
    <row r="519">
      <c r="I519" s="51"/>
      <c r="J519" s="52"/>
    </row>
    <row r="520">
      <c r="I520" s="51"/>
      <c r="J520" s="52"/>
    </row>
    <row r="521">
      <c r="I521" s="51"/>
      <c r="J521" s="52"/>
    </row>
    <row r="522">
      <c r="I522" s="51"/>
      <c r="J522" s="52"/>
    </row>
    <row r="523">
      <c r="I523" s="51"/>
      <c r="J523" s="52"/>
    </row>
    <row r="524">
      <c r="I524" s="51"/>
      <c r="J524" s="52"/>
    </row>
    <row r="525">
      <c r="I525" s="51"/>
      <c r="J525" s="52"/>
    </row>
    <row r="526">
      <c r="I526" s="51"/>
      <c r="J526" s="52"/>
    </row>
    <row r="527">
      <c r="I527" s="51"/>
      <c r="J527" s="52"/>
    </row>
    <row r="528">
      <c r="I528" s="51"/>
      <c r="J528" s="52"/>
    </row>
    <row r="529">
      <c r="I529" s="51"/>
      <c r="J529" s="52"/>
    </row>
    <row r="530">
      <c r="I530" s="51"/>
      <c r="J530" s="52"/>
    </row>
    <row r="531">
      <c r="I531" s="51"/>
      <c r="J531" s="52"/>
    </row>
    <row r="532">
      <c r="I532" s="51"/>
      <c r="J532" s="52"/>
    </row>
    <row r="533">
      <c r="I533" s="51"/>
      <c r="J533" s="52"/>
    </row>
    <row r="534">
      <c r="I534" s="51"/>
      <c r="J534" s="52"/>
    </row>
    <row r="535">
      <c r="I535" s="51"/>
      <c r="J535" s="52"/>
    </row>
    <row r="536">
      <c r="I536" s="51"/>
      <c r="J536" s="52"/>
    </row>
    <row r="537">
      <c r="I537" s="51"/>
      <c r="J537" s="52"/>
    </row>
    <row r="538">
      <c r="I538" s="51"/>
      <c r="J538" s="52"/>
    </row>
    <row r="539">
      <c r="I539" s="51"/>
      <c r="J539" s="52"/>
    </row>
    <row r="540">
      <c r="I540" s="51"/>
      <c r="J540" s="52"/>
    </row>
    <row r="541">
      <c r="I541" s="51"/>
      <c r="J541" s="52"/>
    </row>
    <row r="542">
      <c r="I542" s="51"/>
      <c r="J542" s="52"/>
    </row>
    <row r="543">
      <c r="I543" s="51"/>
      <c r="J543" s="52"/>
    </row>
    <row r="544">
      <c r="I544" s="51"/>
      <c r="J544" s="52"/>
    </row>
    <row r="545">
      <c r="I545" s="51"/>
      <c r="J545" s="52"/>
    </row>
    <row r="546">
      <c r="I546" s="51"/>
      <c r="J546" s="52"/>
    </row>
    <row r="547">
      <c r="I547" s="51"/>
      <c r="J547" s="52"/>
    </row>
    <row r="548">
      <c r="I548" s="51"/>
      <c r="J548" s="52"/>
    </row>
    <row r="549">
      <c r="I549" s="51"/>
      <c r="J549" s="52"/>
    </row>
    <row r="550">
      <c r="I550" s="51"/>
      <c r="J550" s="52"/>
    </row>
    <row r="551">
      <c r="I551" s="51"/>
      <c r="J551" s="52"/>
    </row>
    <row r="552">
      <c r="I552" s="51"/>
      <c r="J552" s="52"/>
    </row>
    <row r="553">
      <c r="I553" s="51"/>
      <c r="J553" s="52"/>
    </row>
    <row r="554">
      <c r="I554" s="51"/>
      <c r="J554" s="52"/>
    </row>
    <row r="555">
      <c r="I555" s="51"/>
      <c r="J555" s="52"/>
    </row>
    <row r="556">
      <c r="I556" s="51"/>
      <c r="J556" s="52"/>
    </row>
    <row r="557">
      <c r="I557" s="51"/>
      <c r="J557" s="52"/>
    </row>
    <row r="558">
      <c r="I558" s="51"/>
      <c r="J558" s="52"/>
    </row>
    <row r="559">
      <c r="I559" s="51"/>
      <c r="J559" s="52"/>
    </row>
    <row r="560">
      <c r="I560" s="51"/>
      <c r="J560" s="52"/>
    </row>
    <row r="561">
      <c r="I561" s="51"/>
      <c r="J561" s="52"/>
    </row>
    <row r="562">
      <c r="I562" s="51"/>
      <c r="J562" s="52"/>
    </row>
    <row r="563">
      <c r="I563" s="51"/>
      <c r="J563" s="52"/>
    </row>
    <row r="564">
      <c r="I564" s="51"/>
      <c r="J564" s="52"/>
    </row>
    <row r="565">
      <c r="I565" s="51"/>
      <c r="J565" s="52"/>
    </row>
    <row r="566">
      <c r="I566" s="51"/>
      <c r="J566" s="52"/>
    </row>
    <row r="567">
      <c r="I567" s="51"/>
      <c r="J567" s="52"/>
    </row>
    <row r="568">
      <c r="I568" s="51"/>
      <c r="J568" s="52"/>
    </row>
    <row r="569">
      <c r="I569" s="51"/>
      <c r="J569" s="52"/>
    </row>
    <row r="570">
      <c r="I570" s="51"/>
      <c r="J570" s="52"/>
    </row>
    <row r="571">
      <c r="I571" s="51"/>
      <c r="J571" s="52"/>
    </row>
    <row r="572">
      <c r="I572" s="51"/>
      <c r="J572" s="52"/>
    </row>
    <row r="573">
      <c r="I573" s="51"/>
      <c r="J573" s="52"/>
    </row>
    <row r="574">
      <c r="I574" s="51"/>
      <c r="J574" s="52"/>
    </row>
    <row r="575">
      <c r="I575" s="51"/>
      <c r="J575" s="52"/>
    </row>
    <row r="576">
      <c r="I576" s="51"/>
      <c r="J576" s="52"/>
    </row>
    <row r="577">
      <c r="I577" s="51"/>
      <c r="J577" s="52"/>
    </row>
    <row r="578">
      <c r="I578" s="51"/>
      <c r="J578" s="52"/>
    </row>
    <row r="579">
      <c r="I579" s="51"/>
      <c r="J579" s="52"/>
    </row>
    <row r="580">
      <c r="I580" s="51"/>
      <c r="J580" s="52"/>
    </row>
    <row r="581">
      <c r="I581" s="51"/>
      <c r="J581" s="52"/>
    </row>
    <row r="582">
      <c r="I582" s="51"/>
      <c r="J582" s="52"/>
    </row>
    <row r="583">
      <c r="I583" s="51"/>
      <c r="J583" s="52"/>
    </row>
    <row r="584">
      <c r="I584" s="51"/>
      <c r="J584" s="52"/>
    </row>
    <row r="585">
      <c r="I585" s="51"/>
      <c r="J585" s="52"/>
    </row>
    <row r="586">
      <c r="I586" s="51"/>
      <c r="J586" s="52"/>
    </row>
    <row r="587">
      <c r="I587" s="51"/>
      <c r="J587" s="52"/>
    </row>
    <row r="588">
      <c r="I588" s="51"/>
      <c r="J588" s="52"/>
    </row>
    <row r="589">
      <c r="I589" s="51"/>
      <c r="J589" s="52"/>
    </row>
    <row r="590">
      <c r="I590" s="51"/>
      <c r="J590" s="52"/>
    </row>
    <row r="591">
      <c r="I591" s="51"/>
      <c r="J591" s="52"/>
    </row>
    <row r="592">
      <c r="I592" s="51"/>
      <c r="J592" s="52"/>
    </row>
    <row r="593">
      <c r="I593" s="51"/>
      <c r="J593" s="52"/>
    </row>
    <row r="594">
      <c r="I594" s="51"/>
      <c r="J594" s="52"/>
    </row>
    <row r="595">
      <c r="I595" s="51"/>
      <c r="J595" s="52"/>
    </row>
    <row r="596">
      <c r="I596" s="51"/>
      <c r="J596" s="52"/>
    </row>
    <row r="597">
      <c r="I597" s="51"/>
      <c r="J597" s="52"/>
    </row>
    <row r="598">
      <c r="I598" s="51"/>
      <c r="J598" s="52"/>
    </row>
    <row r="599">
      <c r="I599" s="51"/>
      <c r="J599" s="52"/>
    </row>
    <row r="600">
      <c r="I600" s="51"/>
      <c r="J600" s="52"/>
    </row>
    <row r="601">
      <c r="I601" s="51"/>
      <c r="J601" s="52"/>
    </row>
    <row r="602">
      <c r="I602" s="51"/>
      <c r="J602" s="52"/>
    </row>
    <row r="603">
      <c r="I603" s="51"/>
      <c r="J603" s="52"/>
    </row>
    <row r="604">
      <c r="I604" s="51"/>
      <c r="J604" s="52"/>
    </row>
    <row r="605">
      <c r="I605" s="51"/>
      <c r="J605" s="52"/>
    </row>
    <row r="606">
      <c r="I606" s="51"/>
      <c r="J606" s="52"/>
    </row>
    <row r="607">
      <c r="I607" s="51"/>
      <c r="J607" s="52"/>
    </row>
    <row r="608">
      <c r="I608" s="51"/>
      <c r="J608" s="52"/>
    </row>
    <row r="609">
      <c r="I609" s="51"/>
      <c r="J609" s="52"/>
    </row>
    <row r="610">
      <c r="I610" s="51"/>
      <c r="J610" s="52"/>
    </row>
    <row r="611">
      <c r="I611" s="51"/>
      <c r="J611" s="52"/>
    </row>
    <row r="612">
      <c r="I612" s="51"/>
      <c r="J612" s="52"/>
    </row>
    <row r="613">
      <c r="I613" s="51"/>
      <c r="J613" s="52"/>
    </row>
    <row r="614">
      <c r="I614" s="51"/>
      <c r="J614" s="52"/>
    </row>
    <row r="615">
      <c r="I615" s="51"/>
      <c r="J615" s="52"/>
    </row>
    <row r="616">
      <c r="I616" s="51"/>
      <c r="J616" s="52"/>
    </row>
    <row r="617">
      <c r="I617" s="51"/>
      <c r="J617" s="52"/>
    </row>
    <row r="618">
      <c r="I618" s="51"/>
      <c r="J618" s="52"/>
    </row>
    <row r="619">
      <c r="I619" s="51"/>
      <c r="J619" s="52"/>
    </row>
    <row r="620">
      <c r="I620" s="51"/>
      <c r="J620" s="52"/>
    </row>
    <row r="621">
      <c r="I621" s="51"/>
      <c r="J621" s="52"/>
    </row>
    <row r="622">
      <c r="I622" s="51"/>
      <c r="J622" s="52"/>
    </row>
    <row r="623">
      <c r="I623" s="51"/>
      <c r="J623" s="52"/>
    </row>
    <row r="624">
      <c r="I624" s="51"/>
      <c r="J624" s="52"/>
    </row>
    <row r="625">
      <c r="I625" s="51"/>
      <c r="J625" s="52"/>
    </row>
    <row r="626">
      <c r="I626" s="51"/>
      <c r="J626" s="52"/>
    </row>
    <row r="627">
      <c r="I627" s="51"/>
      <c r="J627" s="52"/>
    </row>
    <row r="628">
      <c r="I628" s="51"/>
      <c r="J628" s="52"/>
    </row>
    <row r="629">
      <c r="I629" s="51"/>
      <c r="J629" s="52"/>
    </row>
    <row r="630">
      <c r="I630" s="51"/>
      <c r="J630" s="52"/>
    </row>
    <row r="631">
      <c r="I631" s="51"/>
      <c r="J631" s="52"/>
    </row>
    <row r="632">
      <c r="I632" s="51"/>
      <c r="J632" s="52"/>
    </row>
    <row r="633">
      <c r="I633" s="51"/>
      <c r="J633" s="52"/>
    </row>
    <row r="634">
      <c r="I634" s="51"/>
      <c r="J634" s="52"/>
    </row>
    <row r="635">
      <c r="I635" s="51"/>
      <c r="J635" s="52"/>
    </row>
    <row r="636">
      <c r="I636" s="51"/>
      <c r="J636" s="52"/>
    </row>
    <row r="637">
      <c r="I637" s="51"/>
      <c r="J637" s="52"/>
    </row>
    <row r="638">
      <c r="I638" s="51"/>
      <c r="J638" s="52"/>
    </row>
    <row r="639">
      <c r="I639" s="51"/>
      <c r="J639" s="52"/>
    </row>
    <row r="640">
      <c r="I640" s="51"/>
      <c r="J640" s="52"/>
    </row>
    <row r="641">
      <c r="I641" s="51"/>
      <c r="J641" s="52"/>
    </row>
    <row r="642">
      <c r="I642" s="51"/>
      <c r="J642" s="52"/>
    </row>
    <row r="643">
      <c r="I643" s="51"/>
      <c r="J643" s="52"/>
    </row>
    <row r="644">
      <c r="I644" s="51"/>
      <c r="J644" s="52"/>
    </row>
    <row r="645">
      <c r="I645" s="51"/>
      <c r="J645" s="52"/>
    </row>
    <row r="646">
      <c r="I646" s="51"/>
      <c r="J646" s="52"/>
    </row>
    <row r="647">
      <c r="I647" s="51"/>
      <c r="J647" s="52"/>
    </row>
    <row r="648">
      <c r="I648" s="51"/>
      <c r="J648" s="52"/>
    </row>
    <row r="649">
      <c r="I649" s="51"/>
      <c r="J649" s="52"/>
    </row>
    <row r="650">
      <c r="I650" s="51"/>
      <c r="J650" s="52"/>
    </row>
    <row r="651">
      <c r="I651" s="51"/>
      <c r="J651" s="52"/>
    </row>
    <row r="652">
      <c r="I652" s="51"/>
      <c r="J652" s="52"/>
    </row>
    <row r="653">
      <c r="I653" s="51"/>
      <c r="J653" s="52"/>
    </row>
    <row r="654">
      <c r="I654" s="51"/>
      <c r="J654" s="52"/>
    </row>
    <row r="655">
      <c r="I655" s="51"/>
      <c r="J655" s="52"/>
    </row>
    <row r="656">
      <c r="I656" s="51"/>
      <c r="J656" s="52"/>
    </row>
    <row r="657">
      <c r="I657" s="51"/>
      <c r="J657" s="52"/>
    </row>
    <row r="658">
      <c r="I658" s="51"/>
      <c r="J658" s="52"/>
    </row>
    <row r="659">
      <c r="I659" s="51"/>
      <c r="J659" s="52"/>
    </row>
    <row r="660">
      <c r="I660" s="51"/>
      <c r="J660" s="52"/>
    </row>
    <row r="661">
      <c r="I661" s="51"/>
      <c r="J661" s="52"/>
    </row>
    <row r="662">
      <c r="I662" s="51"/>
      <c r="J662" s="52"/>
    </row>
    <row r="663">
      <c r="I663" s="51"/>
      <c r="J663" s="52"/>
    </row>
    <row r="664">
      <c r="I664" s="51"/>
      <c r="J664" s="52"/>
    </row>
    <row r="665">
      <c r="I665" s="51"/>
      <c r="J665" s="52"/>
    </row>
    <row r="666">
      <c r="I666" s="51"/>
      <c r="J666" s="52"/>
    </row>
    <row r="667">
      <c r="I667" s="51"/>
      <c r="J667" s="52"/>
    </row>
    <row r="668">
      <c r="I668" s="51"/>
      <c r="J668" s="52"/>
    </row>
    <row r="669">
      <c r="I669" s="51"/>
      <c r="J669" s="52"/>
    </row>
    <row r="670">
      <c r="I670" s="51"/>
      <c r="J670" s="52"/>
    </row>
    <row r="671">
      <c r="I671" s="51"/>
      <c r="J671" s="52"/>
    </row>
    <row r="672">
      <c r="I672" s="51"/>
      <c r="J672" s="52"/>
    </row>
    <row r="673">
      <c r="I673" s="51"/>
      <c r="J673" s="52"/>
    </row>
    <row r="674">
      <c r="I674" s="51"/>
      <c r="J674" s="52"/>
    </row>
    <row r="675">
      <c r="I675" s="51"/>
      <c r="J675" s="52"/>
    </row>
    <row r="676">
      <c r="I676" s="51"/>
      <c r="J676" s="52"/>
    </row>
    <row r="677">
      <c r="I677" s="51"/>
      <c r="J677" s="52"/>
    </row>
    <row r="678">
      <c r="I678" s="51"/>
      <c r="J678" s="52"/>
    </row>
    <row r="679">
      <c r="I679" s="51"/>
      <c r="J679" s="52"/>
    </row>
    <row r="680">
      <c r="I680" s="51"/>
      <c r="J680" s="52"/>
    </row>
    <row r="681">
      <c r="I681" s="51"/>
      <c r="J681" s="52"/>
    </row>
    <row r="682">
      <c r="I682" s="51"/>
      <c r="J682" s="52"/>
    </row>
    <row r="683">
      <c r="I683" s="51"/>
      <c r="J683" s="52"/>
    </row>
    <row r="684">
      <c r="I684" s="51"/>
      <c r="J684" s="52"/>
    </row>
    <row r="685">
      <c r="I685" s="51"/>
      <c r="J685" s="52"/>
    </row>
    <row r="686">
      <c r="I686" s="51"/>
      <c r="J686" s="52"/>
    </row>
    <row r="687">
      <c r="I687" s="51"/>
      <c r="J687" s="52"/>
    </row>
    <row r="688">
      <c r="I688" s="51"/>
      <c r="J688" s="52"/>
    </row>
    <row r="689">
      <c r="I689" s="51"/>
      <c r="J689" s="52"/>
    </row>
    <row r="690">
      <c r="I690" s="51"/>
      <c r="J690" s="52"/>
    </row>
    <row r="691">
      <c r="I691" s="51"/>
      <c r="J691" s="52"/>
    </row>
    <row r="692">
      <c r="I692" s="51"/>
      <c r="J692" s="52"/>
    </row>
    <row r="693">
      <c r="I693" s="51"/>
      <c r="J693" s="52"/>
    </row>
    <row r="694">
      <c r="I694" s="51"/>
      <c r="J694" s="52"/>
    </row>
    <row r="695">
      <c r="I695" s="51"/>
      <c r="J695" s="52"/>
    </row>
    <row r="696">
      <c r="I696" s="51"/>
      <c r="J696" s="52"/>
    </row>
    <row r="697">
      <c r="I697" s="51"/>
      <c r="J697" s="52"/>
    </row>
    <row r="698">
      <c r="I698" s="51"/>
      <c r="J698" s="52"/>
    </row>
    <row r="699">
      <c r="I699" s="51"/>
      <c r="J699" s="52"/>
    </row>
    <row r="700">
      <c r="I700" s="51"/>
      <c r="J700" s="52"/>
    </row>
    <row r="701">
      <c r="I701" s="51"/>
      <c r="J701" s="52"/>
    </row>
    <row r="702">
      <c r="I702" s="51"/>
      <c r="J702" s="52"/>
    </row>
    <row r="703">
      <c r="I703" s="51"/>
      <c r="J703" s="52"/>
    </row>
    <row r="704">
      <c r="I704" s="51"/>
      <c r="J704" s="52"/>
    </row>
    <row r="705">
      <c r="I705" s="51"/>
      <c r="J705" s="52"/>
    </row>
    <row r="706">
      <c r="I706" s="51"/>
      <c r="J706" s="52"/>
    </row>
    <row r="707">
      <c r="I707" s="51"/>
      <c r="J707" s="52"/>
    </row>
    <row r="708">
      <c r="I708" s="51"/>
      <c r="J708" s="52"/>
    </row>
    <row r="709">
      <c r="I709" s="51"/>
      <c r="J709" s="52"/>
    </row>
    <row r="710">
      <c r="I710" s="51"/>
      <c r="J710" s="52"/>
    </row>
    <row r="711">
      <c r="I711" s="51"/>
      <c r="J711" s="52"/>
    </row>
    <row r="712">
      <c r="I712" s="51"/>
      <c r="J712" s="52"/>
    </row>
    <row r="713">
      <c r="I713" s="51"/>
      <c r="J713" s="52"/>
    </row>
    <row r="714">
      <c r="I714" s="51"/>
      <c r="J714" s="52"/>
    </row>
    <row r="715">
      <c r="I715" s="51"/>
      <c r="J715" s="52"/>
    </row>
    <row r="716">
      <c r="I716" s="51"/>
      <c r="J716" s="52"/>
    </row>
    <row r="717">
      <c r="I717" s="51"/>
      <c r="J717" s="52"/>
    </row>
    <row r="718">
      <c r="I718" s="51"/>
      <c r="J718" s="52"/>
    </row>
    <row r="719">
      <c r="I719" s="51"/>
      <c r="J719" s="52"/>
    </row>
    <row r="720">
      <c r="I720" s="51"/>
      <c r="J720" s="52"/>
    </row>
    <row r="721">
      <c r="I721" s="51"/>
      <c r="J721" s="52"/>
    </row>
    <row r="722">
      <c r="I722" s="51"/>
      <c r="J722" s="52"/>
    </row>
    <row r="723">
      <c r="I723" s="51"/>
      <c r="J723" s="52"/>
    </row>
    <row r="724">
      <c r="I724" s="51"/>
      <c r="J724" s="52"/>
    </row>
    <row r="725">
      <c r="I725" s="51"/>
      <c r="J725" s="52"/>
    </row>
    <row r="726">
      <c r="I726" s="51"/>
      <c r="J726" s="52"/>
    </row>
    <row r="727">
      <c r="I727" s="51"/>
      <c r="J727" s="52"/>
    </row>
    <row r="728">
      <c r="I728" s="51"/>
      <c r="J728" s="52"/>
    </row>
    <row r="729">
      <c r="I729" s="51"/>
      <c r="J729" s="52"/>
    </row>
    <row r="730">
      <c r="I730" s="51"/>
      <c r="J730" s="52"/>
    </row>
    <row r="731">
      <c r="I731" s="51"/>
      <c r="J731" s="52"/>
    </row>
    <row r="732">
      <c r="I732" s="51"/>
      <c r="J732" s="52"/>
    </row>
    <row r="733">
      <c r="I733" s="51"/>
      <c r="J733" s="52"/>
    </row>
    <row r="734">
      <c r="I734" s="51"/>
      <c r="J734" s="52"/>
    </row>
    <row r="735">
      <c r="I735" s="51"/>
      <c r="J735" s="52"/>
    </row>
    <row r="736">
      <c r="I736" s="51"/>
      <c r="J736" s="52"/>
    </row>
    <row r="737">
      <c r="I737" s="51"/>
      <c r="J737" s="52"/>
    </row>
    <row r="738">
      <c r="I738" s="51"/>
      <c r="J738" s="52"/>
    </row>
    <row r="739">
      <c r="I739" s="51"/>
      <c r="J739" s="52"/>
    </row>
    <row r="740">
      <c r="I740" s="51"/>
      <c r="J740" s="52"/>
    </row>
    <row r="741">
      <c r="I741" s="51"/>
      <c r="J741" s="52"/>
    </row>
    <row r="742">
      <c r="I742" s="51"/>
      <c r="J742" s="52"/>
    </row>
    <row r="743">
      <c r="I743" s="51"/>
      <c r="J743" s="52"/>
    </row>
    <row r="744">
      <c r="I744" s="51"/>
      <c r="J744" s="52"/>
    </row>
    <row r="745">
      <c r="I745" s="51"/>
      <c r="J745" s="52"/>
    </row>
    <row r="746">
      <c r="I746" s="51"/>
      <c r="J746" s="52"/>
    </row>
    <row r="747">
      <c r="I747" s="51"/>
      <c r="J747" s="52"/>
    </row>
    <row r="748">
      <c r="I748" s="51"/>
      <c r="J748" s="52"/>
    </row>
    <row r="749">
      <c r="I749" s="51"/>
      <c r="J749" s="52"/>
    </row>
    <row r="750">
      <c r="I750" s="51"/>
      <c r="J750" s="52"/>
    </row>
    <row r="751">
      <c r="I751" s="51"/>
      <c r="J751" s="52"/>
    </row>
    <row r="752">
      <c r="I752" s="51"/>
      <c r="J752" s="52"/>
    </row>
    <row r="753">
      <c r="I753" s="51"/>
      <c r="J753" s="52"/>
    </row>
    <row r="754">
      <c r="I754" s="51"/>
      <c r="J754" s="52"/>
    </row>
    <row r="755">
      <c r="I755" s="51"/>
      <c r="J755" s="52"/>
    </row>
    <row r="756">
      <c r="I756" s="51"/>
      <c r="J756" s="52"/>
    </row>
    <row r="757">
      <c r="I757" s="51"/>
      <c r="J757" s="52"/>
    </row>
    <row r="758">
      <c r="I758" s="51"/>
      <c r="J758" s="52"/>
    </row>
    <row r="759">
      <c r="I759" s="51"/>
      <c r="J759" s="52"/>
    </row>
    <row r="760">
      <c r="I760" s="51"/>
      <c r="J760" s="52"/>
    </row>
    <row r="761">
      <c r="I761" s="51"/>
      <c r="J761" s="52"/>
    </row>
    <row r="762">
      <c r="I762" s="51"/>
      <c r="J762" s="52"/>
    </row>
    <row r="763">
      <c r="I763" s="51"/>
      <c r="J763" s="52"/>
    </row>
    <row r="764">
      <c r="I764" s="51"/>
      <c r="J764" s="52"/>
    </row>
    <row r="765">
      <c r="I765" s="51"/>
      <c r="J765" s="52"/>
    </row>
    <row r="766">
      <c r="I766" s="51"/>
      <c r="J766" s="52"/>
    </row>
    <row r="767">
      <c r="I767" s="51"/>
      <c r="J767" s="52"/>
    </row>
    <row r="768">
      <c r="I768" s="51"/>
      <c r="J768" s="52"/>
    </row>
    <row r="769">
      <c r="I769" s="51"/>
      <c r="J769" s="52"/>
    </row>
    <row r="770">
      <c r="I770" s="51"/>
      <c r="J770" s="52"/>
    </row>
    <row r="771">
      <c r="I771" s="51"/>
      <c r="J771" s="52"/>
    </row>
    <row r="772">
      <c r="I772" s="51"/>
      <c r="J772" s="52"/>
    </row>
    <row r="773">
      <c r="I773" s="51"/>
      <c r="J773" s="52"/>
    </row>
    <row r="774">
      <c r="I774" s="51"/>
      <c r="J774" s="52"/>
    </row>
    <row r="775">
      <c r="I775" s="51"/>
      <c r="J775" s="52"/>
    </row>
    <row r="776">
      <c r="I776" s="51"/>
      <c r="J776" s="52"/>
    </row>
    <row r="777">
      <c r="I777" s="51"/>
      <c r="J777" s="52"/>
    </row>
    <row r="778">
      <c r="I778" s="51"/>
      <c r="J778" s="52"/>
    </row>
    <row r="779">
      <c r="I779" s="51"/>
      <c r="J779" s="52"/>
    </row>
    <row r="780">
      <c r="I780" s="51"/>
      <c r="J780" s="52"/>
    </row>
    <row r="781">
      <c r="I781" s="51"/>
      <c r="J781" s="52"/>
    </row>
    <row r="782">
      <c r="I782" s="51"/>
      <c r="J782" s="52"/>
    </row>
    <row r="783">
      <c r="I783" s="51"/>
      <c r="J783" s="52"/>
    </row>
    <row r="784">
      <c r="I784" s="51"/>
      <c r="J784" s="52"/>
    </row>
    <row r="785">
      <c r="I785" s="51"/>
      <c r="J785" s="52"/>
    </row>
    <row r="786">
      <c r="I786" s="51"/>
      <c r="J786" s="52"/>
    </row>
    <row r="787">
      <c r="I787" s="51"/>
      <c r="J787" s="52"/>
    </row>
    <row r="788">
      <c r="I788" s="51"/>
      <c r="J788" s="52"/>
    </row>
    <row r="789">
      <c r="I789" s="51"/>
      <c r="J789" s="52"/>
    </row>
    <row r="790">
      <c r="I790" s="51"/>
      <c r="J790" s="52"/>
    </row>
    <row r="791">
      <c r="I791" s="51"/>
      <c r="J791" s="52"/>
    </row>
    <row r="792">
      <c r="I792" s="51"/>
      <c r="J792" s="52"/>
    </row>
    <row r="793">
      <c r="I793" s="51"/>
      <c r="J793" s="52"/>
    </row>
    <row r="794">
      <c r="I794" s="51"/>
      <c r="J794" s="52"/>
    </row>
    <row r="795">
      <c r="I795" s="51"/>
      <c r="J795" s="52"/>
    </row>
    <row r="796">
      <c r="I796" s="51"/>
      <c r="J796" s="52"/>
    </row>
    <row r="797">
      <c r="I797" s="51"/>
      <c r="J797" s="52"/>
    </row>
    <row r="798">
      <c r="I798" s="51"/>
      <c r="J798" s="52"/>
    </row>
    <row r="799">
      <c r="I799" s="51"/>
      <c r="J799" s="52"/>
    </row>
    <row r="800">
      <c r="I800" s="51"/>
      <c r="J800" s="52"/>
    </row>
    <row r="801">
      <c r="I801" s="51"/>
      <c r="J801" s="52"/>
    </row>
    <row r="802">
      <c r="I802" s="51"/>
      <c r="J802" s="52"/>
    </row>
    <row r="803">
      <c r="I803" s="51"/>
      <c r="J803" s="52"/>
    </row>
    <row r="804">
      <c r="I804" s="51"/>
      <c r="J804" s="52"/>
    </row>
    <row r="805">
      <c r="I805" s="51"/>
      <c r="J805" s="52"/>
    </row>
    <row r="806">
      <c r="I806" s="51"/>
      <c r="J806" s="52"/>
    </row>
    <row r="807">
      <c r="I807" s="51"/>
      <c r="J807" s="52"/>
    </row>
    <row r="808">
      <c r="I808" s="51"/>
      <c r="J808" s="52"/>
    </row>
    <row r="809">
      <c r="I809" s="51"/>
      <c r="J809" s="52"/>
    </row>
    <row r="810">
      <c r="I810" s="51"/>
      <c r="J810" s="52"/>
    </row>
    <row r="811">
      <c r="I811" s="51"/>
      <c r="J811" s="52"/>
    </row>
    <row r="812">
      <c r="I812" s="51"/>
      <c r="J812" s="52"/>
    </row>
    <row r="813">
      <c r="I813" s="51"/>
      <c r="J813" s="52"/>
    </row>
    <row r="814">
      <c r="I814" s="51"/>
      <c r="J814" s="52"/>
    </row>
    <row r="815">
      <c r="I815" s="51"/>
      <c r="J815" s="52"/>
    </row>
    <row r="816">
      <c r="I816" s="51"/>
      <c r="J816" s="52"/>
    </row>
    <row r="817">
      <c r="I817" s="51"/>
      <c r="J817" s="52"/>
    </row>
    <row r="818">
      <c r="I818" s="51"/>
      <c r="J818" s="52"/>
    </row>
    <row r="819">
      <c r="I819" s="51"/>
      <c r="J819" s="52"/>
    </row>
    <row r="820">
      <c r="I820" s="51"/>
      <c r="J820" s="52"/>
    </row>
    <row r="821">
      <c r="I821" s="51"/>
      <c r="J821" s="52"/>
    </row>
    <row r="822">
      <c r="I822" s="51"/>
      <c r="J822" s="52"/>
    </row>
    <row r="823">
      <c r="I823" s="51"/>
      <c r="J823" s="52"/>
    </row>
    <row r="824">
      <c r="I824" s="51"/>
      <c r="J824" s="52"/>
    </row>
    <row r="825">
      <c r="I825" s="51"/>
      <c r="J825" s="52"/>
    </row>
    <row r="826">
      <c r="I826" s="51"/>
      <c r="J826" s="52"/>
    </row>
    <row r="827">
      <c r="I827" s="51"/>
      <c r="J827" s="52"/>
    </row>
    <row r="828">
      <c r="I828" s="51"/>
      <c r="J828" s="52"/>
    </row>
    <row r="829">
      <c r="I829" s="51"/>
      <c r="J829" s="52"/>
    </row>
    <row r="830">
      <c r="I830" s="51"/>
      <c r="J830" s="52"/>
    </row>
    <row r="831">
      <c r="I831" s="51"/>
      <c r="J831" s="52"/>
    </row>
    <row r="832">
      <c r="I832" s="51"/>
      <c r="J832" s="52"/>
    </row>
    <row r="833">
      <c r="I833" s="51"/>
      <c r="J833" s="52"/>
    </row>
    <row r="834">
      <c r="I834" s="51"/>
      <c r="J834" s="52"/>
    </row>
    <row r="835">
      <c r="I835" s="51"/>
      <c r="J835" s="52"/>
    </row>
    <row r="836">
      <c r="I836" s="51"/>
      <c r="J836" s="52"/>
    </row>
    <row r="837">
      <c r="I837" s="51"/>
      <c r="J837" s="52"/>
    </row>
    <row r="838">
      <c r="I838" s="51"/>
      <c r="J838" s="52"/>
    </row>
    <row r="839">
      <c r="I839" s="51"/>
      <c r="J839" s="52"/>
    </row>
    <row r="840">
      <c r="I840" s="51"/>
      <c r="J840" s="52"/>
    </row>
    <row r="841">
      <c r="I841" s="51"/>
      <c r="J841" s="52"/>
    </row>
    <row r="842">
      <c r="I842" s="51"/>
      <c r="J842" s="52"/>
    </row>
    <row r="843">
      <c r="I843" s="51"/>
      <c r="J843" s="52"/>
    </row>
    <row r="844">
      <c r="I844" s="51"/>
      <c r="J844" s="52"/>
    </row>
    <row r="845">
      <c r="I845" s="51"/>
      <c r="J845" s="52"/>
    </row>
    <row r="846">
      <c r="I846" s="51"/>
      <c r="J846" s="52"/>
    </row>
    <row r="847">
      <c r="I847" s="51"/>
      <c r="J847" s="52"/>
    </row>
    <row r="848">
      <c r="I848" s="51"/>
      <c r="J848" s="52"/>
    </row>
    <row r="849">
      <c r="I849" s="51"/>
      <c r="J849" s="52"/>
    </row>
    <row r="850">
      <c r="I850" s="51"/>
      <c r="J850" s="52"/>
    </row>
    <row r="851">
      <c r="I851" s="51"/>
      <c r="J851" s="52"/>
    </row>
    <row r="852">
      <c r="I852" s="51"/>
      <c r="J852" s="52"/>
    </row>
    <row r="853">
      <c r="I853" s="51"/>
      <c r="J853" s="52"/>
    </row>
    <row r="854">
      <c r="I854" s="51"/>
      <c r="J854" s="52"/>
    </row>
    <row r="855">
      <c r="I855" s="51"/>
      <c r="J855" s="52"/>
    </row>
    <row r="856">
      <c r="I856" s="51"/>
      <c r="J856" s="52"/>
    </row>
    <row r="857">
      <c r="I857" s="51"/>
      <c r="J857" s="52"/>
    </row>
    <row r="858">
      <c r="I858" s="51"/>
      <c r="J858" s="52"/>
    </row>
    <row r="859">
      <c r="I859" s="51"/>
      <c r="J859" s="52"/>
    </row>
    <row r="860">
      <c r="I860" s="51"/>
      <c r="J860" s="52"/>
    </row>
    <row r="861">
      <c r="I861" s="51"/>
      <c r="J861" s="52"/>
    </row>
    <row r="862">
      <c r="I862" s="51"/>
      <c r="J862" s="52"/>
    </row>
    <row r="863">
      <c r="I863" s="51"/>
      <c r="J863" s="52"/>
    </row>
    <row r="864">
      <c r="I864" s="51"/>
      <c r="J864" s="52"/>
    </row>
    <row r="865">
      <c r="I865" s="51"/>
      <c r="J865" s="52"/>
    </row>
    <row r="866">
      <c r="I866" s="51"/>
      <c r="J866" s="52"/>
    </row>
    <row r="867">
      <c r="I867" s="51"/>
      <c r="J867" s="52"/>
    </row>
    <row r="868">
      <c r="I868" s="51"/>
      <c r="J868" s="52"/>
    </row>
    <row r="869">
      <c r="I869" s="51"/>
      <c r="J869" s="52"/>
    </row>
    <row r="870">
      <c r="I870" s="51"/>
      <c r="J870" s="52"/>
    </row>
    <row r="871">
      <c r="I871" s="51"/>
      <c r="J871" s="52"/>
    </row>
    <row r="872">
      <c r="I872" s="51"/>
      <c r="J872" s="52"/>
    </row>
    <row r="873">
      <c r="I873" s="51"/>
      <c r="J873" s="52"/>
    </row>
    <row r="874">
      <c r="I874" s="51"/>
      <c r="J874" s="52"/>
    </row>
    <row r="875">
      <c r="I875" s="51"/>
      <c r="J875" s="52"/>
    </row>
    <row r="876">
      <c r="I876" s="51"/>
      <c r="J876" s="52"/>
    </row>
    <row r="877">
      <c r="I877" s="51"/>
      <c r="J877" s="52"/>
    </row>
    <row r="878">
      <c r="I878" s="51"/>
      <c r="J878" s="52"/>
    </row>
    <row r="879">
      <c r="I879" s="51"/>
      <c r="J879" s="52"/>
    </row>
    <row r="880">
      <c r="I880" s="51"/>
      <c r="J880" s="52"/>
    </row>
    <row r="881">
      <c r="I881" s="51"/>
      <c r="J881" s="52"/>
    </row>
    <row r="882">
      <c r="I882" s="51"/>
      <c r="J882" s="52"/>
    </row>
    <row r="883">
      <c r="I883" s="51"/>
      <c r="J883" s="52"/>
    </row>
    <row r="884">
      <c r="I884" s="51"/>
      <c r="J884" s="52"/>
    </row>
    <row r="885">
      <c r="I885" s="51"/>
      <c r="J885" s="52"/>
    </row>
    <row r="886">
      <c r="I886" s="51"/>
      <c r="J886" s="52"/>
    </row>
    <row r="887">
      <c r="I887" s="51"/>
      <c r="J887" s="52"/>
    </row>
    <row r="888">
      <c r="I888" s="51"/>
      <c r="J888" s="52"/>
    </row>
    <row r="889">
      <c r="I889" s="51"/>
      <c r="J889" s="52"/>
    </row>
    <row r="890">
      <c r="I890" s="51"/>
      <c r="J890" s="52"/>
    </row>
    <row r="891">
      <c r="I891" s="51"/>
      <c r="J891" s="52"/>
    </row>
    <row r="892">
      <c r="I892" s="51"/>
      <c r="J892" s="52"/>
    </row>
    <row r="893">
      <c r="I893" s="51"/>
      <c r="J893" s="52"/>
    </row>
    <row r="894">
      <c r="I894" s="51"/>
      <c r="J894" s="52"/>
    </row>
    <row r="895">
      <c r="I895" s="51"/>
      <c r="J895" s="52"/>
    </row>
    <row r="896">
      <c r="I896" s="51"/>
      <c r="J896" s="52"/>
    </row>
    <row r="897">
      <c r="I897" s="51"/>
      <c r="J897" s="52"/>
    </row>
    <row r="898">
      <c r="I898" s="51"/>
      <c r="J898" s="52"/>
    </row>
    <row r="899">
      <c r="I899" s="51"/>
      <c r="J899" s="52"/>
    </row>
    <row r="900">
      <c r="I900" s="51"/>
      <c r="J900" s="52"/>
    </row>
    <row r="901">
      <c r="I901" s="51"/>
      <c r="J901" s="52"/>
    </row>
    <row r="902">
      <c r="I902" s="51"/>
      <c r="J902" s="52"/>
    </row>
    <row r="903">
      <c r="I903" s="51"/>
      <c r="J903" s="52"/>
    </row>
    <row r="904">
      <c r="I904" s="51"/>
      <c r="J904" s="52"/>
    </row>
    <row r="905">
      <c r="I905" s="51"/>
      <c r="J905" s="52"/>
    </row>
    <row r="906">
      <c r="I906" s="51"/>
      <c r="J906" s="52"/>
    </row>
    <row r="907">
      <c r="I907" s="51"/>
      <c r="J907" s="52"/>
    </row>
    <row r="908">
      <c r="I908" s="51"/>
      <c r="J908" s="52"/>
    </row>
    <row r="909">
      <c r="I909" s="51"/>
      <c r="J909" s="52"/>
    </row>
    <row r="910">
      <c r="I910" s="51"/>
      <c r="J910" s="52"/>
    </row>
    <row r="911">
      <c r="I911" s="51"/>
      <c r="J911" s="52"/>
    </row>
    <row r="912">
      <c r="I912" s="51"/>
      <c r="J912" s="52"/>
    </row>
    <row r="913">
      <c r="I913" s="51"/>
      <c r="J913" s="52"/>
    </row>
    <row r="914">
      <c r="I914" s="51"/>
      <c r="J914" s="52"/>
    </row>
    <row r="915">
      <c r="I915" s="51"/>
      <c r="J915" s="52"/>
    </row>
    <row r="916">
      <c r="I916" s="51"/>
      <c r="J916" s="52"/>
    </row>
    <row r="917">
      <c r="I917" s="51"/>
      <c r="J917" s="52"/>
    </row>
    <row r="918">
      <c r="I918" s="51"/>
      <c r="J918" s="52"/>
    </row>
    <row r="919">
      <c r="I919" s="51"/>
      <c r="J919" s="52"/>
    </row>
    <row r="920">
      <c r="I920" s="51"/>
      <c r="J920" s="52"/>
    </row>
    <row r="921">
      <c r="I921" s="51"/>
      <c r="J921" s="52"/>
    </row>
    <row r="922">
      <c r="I922" s="51"/>
      <c r="J922" s="52"/>
    </row>
    <row r="923">
      <c r="I923" s="51"/>
      <c r="J923" s="52"/>
    </row>
    <row r="924">
      <c r="I924" s="51"/>
      <c r="J924" s="52"/>
    </row>
    <row r="925">
      <c r="I925" s="51"/>
      <c r="J925" s="52"/>
    </row>
    <row r="926">
      <c r="I926" s="51"/>
      <c r="J926" s="52"/>
    </row>
    <row r="927">
      <c r="I927" s="51"/>
      <c r="J927" s="52"/>
    </row>
    <row r="928">
      <c r="I928" s="51"/>
      <c r="J928" s="52"/>
    </row>
    <row r="929">
      <c r="I929" s="51"/>
      <c r="J929" s="52"/>
    </row>
    <row r="930">
      <c r="I930" s="51"/>
      <c r="J930" s="52"/>
    </row>
    <row r="931">
      <c r="I931" s="51"/>
      <c r="J931" s="52"/>
    </row>
    <row r="932">
      <c r="I932" s="51"/>
      <c r="J932" s="52"/>
    </row>
    <row r="933">
      <c r="I933" s="51"/>
      <c r="J933" s="52"/>
    </row>
    <row r="934">
      <c r="I934" s="51"/>
      <c r="J934" s="52"/>
    </row>
    <row r="935">
      <c r="I935" s="51"/>
      <c r="J935" s="52"/>
    </row>
    <row r="936">
      <c r="I936" s="51"/>
      <c r="J936" s="52"/>
    </row>
    <row r="937">
      <c r="I937" s="51"/>
      <c r="J937" s="52"/>
    </row>
    <row r="938">
      <c r="I938" s="51"/>
      <c r="J938" s="52"/>
    </row>
    <row r="939">
      <c r="I939" s="51"/>
      <c r="J939" s="52"/>
    </row>
    <row r="940">
      <c r="I940" s="51"/>
      <c r="J940" s="52"/>
    </row>
    <row r="941">
      <c r="I941" s="51"/>
      <c r="J941" s="52"/>
    </row>
    <row r="942">
      <c r="I942" s="51"/>
      <c r="J942" s="52"/>
    </row>
    <row r="943">
      <c r="I943" s="51"/>
      <c r="J943" s="52"/>
    </row>
    <row r="944">
      <c r="I944" s="51"/>
      <c r="J944" s="52"/>
    </row>
    <row r="945">
      <c r="I945" s="51"/>
      <c r="J945" s="52"/>
    </row>
    <row r="946">
      <c r="I946" s="51"/>
      <c r="J946" s="52"/>
    </row>
    <row r="947">
      <c r="I947" s="51"/>
      <c r="J947" s="52"/>
    </row>
    <row r="948">
      <c r="I948" s="51"/>
      <c r="J948" s="52"/>
    </row>
    <row r="949">
      <c r="I949" s="51"/>
      <c r="J949" s="52"/>
    </row>
    <row r="950">
      <c r="I950" s="51"/>
      <c r="J950" s="52"/>
    </row>
    <row r="951">
      <c r="I951" s="51"/>
      <c r="J951" s="52"/>
    </row>
    <row r="952">
      <c r="I952" s="51"/>
      <c r="J952" s="52"/>
    </row>
    <row r="953">
      <c r="I953" s="51"/>
      <c r="J953" s="52"/>
    </row>
    <row r="954">
      <c r="I954" s="51"/>
      <c r="J954" s="52"/>
    </row>
    <row r="955">
      <c r="I955" s="51"/>
      <c r="J955" s="52"/>
    </row>
    <row r="956">
      <c r="I956" s="51"/>
      <c r="J956" s="52"/>
    </row>
    <row r="957">
      <c r="I957" s="51"/>
      <c r="J957" s="52"/>
    </row>
    <row r="958">
      <c r="I958" s="51"/>
      <c r="J958" s="52"/>
    </row>
    <row r="959">
      <c r="I959" s="51"/>
      <c r="J959" s="52"/>
    </row>
    <row r="960">
      <c r="I960" s="51"/>
      <c r="J960" s="52"/>
    </row>
    <row r="961">
      <c r="I961" s="51"/>
      <c r="J961" s="52"/>
    </row>
    <row r="962">
      <c r="I962" s="51"/>
      <c r="J962" s="52"/>
    </row>
    <row r="963">
      <c r="I963" s="51"/>
      <c r="J963" s="52"/>
    </row>
    <row r="964">
      <c r="I964" s="51"/>
      <c r="J964" s="52"/>
    </row>
    <row r="965">
      <c r="I965" s="51"/>
      <c r="J965" s="52"/>
    </row>
    <row r="966">
      <c r="I966" s="51"/>
      <c r="J966" s="52"/>
    </row>
    <row r="967">
      <c r="I967" s="51"/>
      <c r="J967" s="52"/>
    </row>
    <row r="968">
      <c r="I968" s="51"/>
      <c r="J968" s="52"/>
    </row>
    <row r="969">
      <c r="I969" s="51"/>
      <c r="J969" s="52"/>
    </row>
    <row r="970">
      <c r="I970" s="51"/>
      <c r="J970" s="52"/>
    </row>
    <row r="971">
      <c r="I971" s="51"/>
      <c r="J971" s="52"/>
    </row>
    <row r="972">
      <c r="I972" s="51"/>
      <c r="J972" s="52"/>
    </row>
    <row r="973">
      <c r="I973" s="51"/>
      <c r="J973" s="52"/>
    </row>
    <row r="974">
      <c r="I974" s="51"/>
      <c r="J974" s="52"/>
    </row>
    <row r="975">
      <c r="I975" s="51"/>
      <c r="J975" s="52"/>
    </row>
    <row r="976">
      <c r="I976" s="51"/>
      <c r="J976" s="52"/>
    </row>
    <row r="977">
      <c r="I977" s="51"/>
      <c r="J977" s="52"/>
    </row>
    <row r="978">
      <c r="I978" s="51"/>
      <c r="J978" s="52"/>
    </row>
    <row r="979">
      <c r="I979" s="51"/>
      <c r="J979" s="52"/>
    </row>
    <row r="980">
      <c r="I980" s="51"/>
      <c r="J980" s="52"/>
    </row>
    <row r="981">
      <c r="I981" s="51"/>
      <c r="J981" s="52"/>
    </row>
    <row r="982">
      <c r="I982" s="51"/>
      <c r="J982" s="52"/>
    </row>
    <row r="983">
      <c r="I983" s="51"/>
      <c r="J983" s="52"/>
    </row>
    <row r="984">
      <c r="I984" s="51"/>
      <c r="J984" s="52"/>
    </row>
    <row r="985">
      <c r="I985" s="51"/>
      <c r="J985" s="52"/>
    </row>
    <row r="986">
      <c r="I986" s="51"/>
      <c r="J986" s="52"/>
    </row>
    <row r="987">
      <c r="I987" s="51"/>
      <c r="J987" s="52"/>
    </row>
    <row r="988">
      <c r="I988" s="51"/>
      <c r="J988" s="52"/>
    </row>
    <row r="989">
      <c r="I989" s="51"/>
      <c r="J989" s="52"/>
    </row>
    <row r="990">
      <c r="I990" s="51"/>
      <c r="J990" s="52"/>
    </row>
    <row r="991">
      <c r="I991" s="51"/>
      <c r="J991" s="52"/>
    </row>
    <row r="992">
      <c r="I992" s="51"/>
      <c r="J992" s="52"/>
    </row>
    <row r="993">
      <c r="I993" s="51"/>
      <c r="J993" s="52"/>
    </row>
    <row r="994">
      <c r="I994" s="51"/>
      <c r="J994" s="52"/>
    </row>
    <row r="995">
      <c r="I995" s="51"/>
      <c r="J995" s="52"/>
    </row>
    <row r="996">
      <c r="I996" s="51"/>
      <c r="J996" s="52"/>
    </row>
    <row r="997">
      <c r="I997" s="51"/>
      <c r="J997" s="52"/>
    </row>
    <row r="998">
      <c r="I998" s="51"/>
      <c r="J998" s="52"/>
    </row>
    <row r="999">
      <c r="I999" s="51"/>
      <c r="J999" s="52"/>
    </row>
    <row r="1000">
      <c r="I1000" s="51"/>
      <c r="J1000" s="52"/>
    </row>
  </sheetData>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13.0"/>
    <col customWidth="1" min="3" max="3" width="3.0"/>
    <col customWidth="1" min="4" max="4" width="26.0"/>
    <col customWidth="1" min="5" max="5" width="13.0"/>
    <col customWidth="1" min="6" max="6" width="3.0"/>
    <col customWidth="1" min="7" max="7" width="24.0"/>
    <col customWidth="1" min="8" max="8" width="13.0"/>
    <col customWidth="1" min="9" max="26" width="8.71"/>
  </cols>
  <sheetData>
    <row r="1" ht="31.5" customHeight="1">
      <c r="A1" s="53" t="s">
        <v>366</v>
      </c>
      <c r="B1" s="2"/>
      <c r="C1" s="2"/>
      <c r="D1" s="2"/>
      <c r="E1" s="2"/>
      <c r="F1" s="2"/>
      <c r="G1" s="2"/>
      <c r="H1" s="3"/>
    </row>
    <row r="3">
      <c r="A3" s="54" t="s">
        <v>367</v>
      </c>
      <c r="B3" s="54" t="s">
        <v>368</v>
      </c>
      <c r="D3" s="54" t="s">
        <v>369</v>
      </c>
      <c r="E3" s="54" t="s">
        <v>368</v>
      </c>
      <c r="G3" s="54" t="s">
        <v>370</v>
      </c>
      <c r="H3" s="54" t="s">
        <v>368</v>
      </c>
    </row>
    <row r="4">
      <c r="A4" s="55" t="s">
        <v>49</v>
      </c>
      <c r="B4" s="56">
        <f>COUNTIF('Call Log'!Q:Q,"Interested")</f>
        <v>6</v>
      </c>
      <c r="D4" s="55" t="s">
        <v>27</v>
      </c>
      <c r="E4" s="56">
        <f>COUNTIF('Call Log'!R:R,"Cold")</f>
        <v>43</v>
      </c>
      <c r="G4" s="55" t="s">
        <v>371</v>
      </c>
      <c r="H4" s="56">
        <f>COUNTIF('Call Log'!L:L,"Yes")</f>
        <v>3</v>
      </c>
    </row>
    <row r="5">
      <c r="A5" s="55" t="s">
        <v>26</v>
      </c>
      <c r="B5" s="56">
        <f>COUNTIF('Call Log'!Q:Q,"Not Interested")</f>
        <v>6</v>
      </c>
      <c r="D5" s="55" t="s">
        <v>123</v>
      </c>
      <c r="E5" s="56">
        <f>COUNTIF('Call Log'!R:R,"Contacted")</f>
        <v>6</v>
      </c>
      <c r="G5" s="55" t="s">
        <v>372</v>
      </c>
      <c r="H5" s="56">
        <f>COUNTIF('Call Log'!L:L,"No")</f>
        <v>1</v>
      </c>
    </row>
    <row r="6">
      <c r="A6" s="55" t="s">
        <v>37</v>
      </c>
      <c r="B6" s="56">
        <f>COUNTIF('Call Log'!Q:Q,"Call Back")</f>
        <v>9</v>
      </c>
      <c r="D6" s="55" t="s">
        <v>50</v>
      </c>
      <c r="E6" s="56">
        <f>COUNTIF('Call Log'!R:R,"Assessing Fit")</f>
        <v>3</v>
      </c>
      <c r="G6" s="55" t="s">
        <v>373</v>
      </c>
      <c r="H6" s="56">
        <f>COUNTIF('Call Log'!L:L,"Unknown")</f>
        <v>0</v>
      </c>
    </row>
    <row r="7">
      <c r="A7" s="55" t="s">
        <v>55</v>
      </c>
      <c r="B7" s="56">
        <f>COUNTIF('Call Log'!Q:Q,"Voicemail")</f>
        <v>35</v>
      </c>
      <c r="D7" s="55" t="s">
        <v>374</v>
      </c>
      <c r="E7" s="56">
        <f>COUNTIF('Call Log'!R:R,"Space Confirmed")</f>
        <v>0</v>
      </c>
      <c r="G7" s="55" t="s">
        <v>375</v>
      </c>
      <c r="H7" s="56">
        <f>COUNTIF('Call Log'!O:O,"Yes")</f>
        <v>0</v>
      </c>
    </row>
    <row r="8">
      <c r="A8" s="55" t="s">
        <v>76</v>
      </c>
      <c r="B8" s="56">
        <f>COUNTIF('Call Log'!Q:Q,"No Answer")</f>
        <v>7</v>
      </c>
      <c r="D8" s="55" t="s">
        <v>211</v>
      </c>
      <c r="E8" s="56">
        <f>COUNTIF('Call Log'!R:R,"Partnership Discussion")</f>
        <v>1</v>
      </c>
    </row>
    <row r="9">
      <c r="A9" s="55" t="s">
        <v>376</v>
      </c>
      <c r="B9" s="56">
        <f>COUNTIF('Call Log'!Q:Q,"Wrong Number")</f>
        <v>0</v>
      </c>
      <c r="D9" s="55" t="s">
        <v>377</v>
      </c>
      <c r="E9" s="56">
        <f>COUNTIF('Call Log'!R:R,"Committed")</f>
        <v>0</v>
      </c>
    </row>
    <row r="10">
      <c r="A10" s="55" t="s">
        <v>378</v>
      </c>
      <c r="B10" s="56">
        <f>COUNTIF('Call Log'!Q:Q,"Do Not Contact")</f>
        <v>0</v>
      </c>
      <c r="D10" s="55" t="s">
        <v>379</v>
      </c>
      <c r="E10" s="56">
        <f>COUNTIF('Call Log'!R:R,"Closed")</f>
        <v>0</v>
      </c>
    </row>
    <row r="11">
      <c r="A11" s="57" t="s">
        <v>380</v>
      </c>
      <c r="B11" s="56">
        <f>COUNTA('Call Log'!B3:B201)</f>
        <v>64</v>
      </c>
      <c r="D11" s="57" t="s">
        <v>381</v>
      </c>
      <c r="E11" s="58">
        <f>IFERROR(COUNTIF('Call Log'!R:R,"Committed")/COUNTA('Call Log'!B3:B201),0)</f>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7">
      <c r="G17" s="59"/>
      <c r="H17" s="59"/>
      <c r="I17" s="59"/>
      <c r="J17" s="59"/>
      <c r="K17" s="59"/>
      <c r="L17" s="59"/>
      <c r="M17" s="59"/>
      <c r="N17" s="59"/>
      <c r="O17" s="59"/>
      <c r="P17" s="59"/>
      <c r="Q17" s="59"/>
      <c r="R17" s="59"/>
    </row>
    <row r="18">
      <c r="G18" s="59"/>
      <c r="H18" s="59"/>
      <c r="I18" s="59"/>
      <c r="J18" s="59"/>
      <c r="K18" s="59"/>
      <c r="L18" s="59"/>
      <c r="M18" s="59"/>
      <c r="N18" s="59"/>
      <c r="O18" s="60">
        <v>3.0</v>
      </c>
      <c r="P18" s="60">
        <v>5.0</v>
      </c>
      <c r="R18" s="59"/>
    </row>
    <row r="19">
      <c r="G19" s="59"/>
      <c r="H19" s="59"/>
      <c r="I19" s="59"/>
      <c r="J19" s="59"/>
      <c r="K19" s="59"/>
      <c r="L19" s="59"/>
      <c r="M19" s="59"/>
      <c r="N19" s="59"/>
      <c r="O19" s="60">
        <v>5.0</v>
      </c>
      <c r="P19" s="60">
        <v>4.0</v>
      </c>
      <c r="R19" s="59"/>
    </row>
    <row r="20">
      <c r="G20" s="59"/>
      <c r="H20" s="59"/>
      <c r="I20" s="59"/>
      <c r="J20" s="59"/>
      <c r="K20" s="59"/>
      <c r="L20" s="59"/>
      <c r="M20" s="59"/>
      <c r="N20" s="59"/>
      <c r="O20" s="61"/>
      <c r="P20" s="61"/>
      <c r="R20" s="59"/>
    </row>
    <row r="21">
      <c r="G21" s="59"/>
      <c r="H21" s="59"/>
      <c r="I21" s="59"/>
      <c r="J21" s="59"/>
      <c r="K21" s="59"/>
      <c r="L21" s="59"/>
      <c r="M21" s="59"/>
      <c r="N21" s="59"/>
      <c r="O21" s="60"/>
      <c r="P21" s="60"/>
      <c r="R21" s="59"/>
    </row>
    <row r="22">
      <c r="G22" s="59"/>
      <c r="H22" s="59"/>
      <c r="I22" s="59"/>
      <c r="J22" s="59"/>
      <c r="K22" s="59"/>
      <c r="L22" s="59"/>
      <c r="M22" s="59"/>
      <c r="N22" s="59"/>
      <c r="O22" s="62">
        <v>5.0</v>
      </c>
      <c r="P22" s="62">
        <v>4.0</v>
      </c>
      <c r="R22" s="59"/>
    </row>
    <row r="23">
      <c r="G23" s="59"/>
      <c r="H23" s="59"/>
      <c r="I23" s="59"/>
      <c r="J23" s="59"/>
      <c r="K23" s="59"/>
      <c r="L23" s="59"/>
      <c r="M23" s="59"/>
      <c r="N23" s="59"/>
      <c r="O23" s="60">
        <v>5.0</v>
      </c>
      <c r="P23" s="60">
        <v>4.0</v>
      </c>
      <c r="R23" s="59"/>
    </row>
    <row r="24">
      <c r="G24" s="59"/>
      <c r="H24" s="59"/>
      <c r="I24" s="59"/>
      <c r="J24" s="59"/>
      <c r="K24" s="59"/>
      <c r="L24" s="59"/>
      <c r="M24" s="59"/>
      <c r="N24" s="59"/>
      <c r="O24" s="63">
        <v>5.0</v>
      </c>
      <c r="P24" s="63">
        <v>4.0</v>
      </c>
      <c r="R24" s="59"/>
    </row>
    <row r="25">
      <c r="G25" s="59"/>
      <c r="H25" s="59"/>
      <c r="I25" s="59"/>
      <c r="J25" s="59"/>
      <c r="K25" s="59"/>
      <c r="L25" s="59"/>
      <c r="M25" s="59"/>
      <c r="N25" s="59"/>
      <c r="O25" s="60">
        <v>5.0</v>
      </c>
      <c r="P25" s="60">
        <v>4.0</v>
      </c>
      <c r="R25" s="59"/>
    </row>
    <row r="26">
      <c r="G26" s="59"/>
      <c r="H26" s="59"/>
      <c r="I26" s="59"/>
      <c r="J26" s="59"/>
      <c r="K26" s="59"/>
      <c r="L26" s="59"/>
      <c r="M26" s="59"/>
      <c r="N26" s="59"/>
      <c r="O26" s="63">
        <v>3.0</v>
      </c>
      <c r="P26" s="63">
        <v>5.0</v>
      </c>
      <c r="R26" s="59"/>
    </row>
    <row r="27">
      <c r="G27" s="59"/>
      <c r="H27" s="59"/>
      <c r="I27" s="59"/>
      <c r="J27" s="59"/>
      <c r="K27" s="59"/>
      <c r="L27" s="59"/>
      <c r="M27" s="59"/>
      <c r="N27" s="59"/>
      <c r="O27" s="60">
        <v>3.0</v>
      </c>
      <c r="P27" s="60">
        <v>5.0</v>
      </c>
      <c r="R27" s="59"/>
    </row>
    <row r="28">
      <c r="G28" s="59"/>
      <c r="H28" s="59"/>
      <c r="I28" s="59"/>
      <c r="J28" s="59"/>
      <c r="K28" s="59"/>
      <c r="L28" s="59"/>
      <c r="M28" s="59"/>
      <c r="N28" s="59"/>
      <c r="O28" s="63">
        <v>3.0</v>
      </c>
      <c r="P28" s="63">
        <v>5.0</v>
      </c>
      <c r="R28" s="59"/>
    </row>
    <row r="29">
      <c r="G29" s="59"/>
      <c r="H29" s="59"/>
      <c r="I29" s="59"/>
      <c r="J29" s="59"/>
      <c r="K29" s="59"/>
      <c r="L29" s="59"/>
      <c r="M29" s="59"/>
      <c r="N29" s="59"/>
      <c r="O29" s="60"/>
      <c r="P29" s="60"/>
      <c r="R29" s="59"/>
    </row>
    <row r="30">
      <c r="G30" s="59"/>
      <c r="H30" s="59"/>
      <c r="I30" s="59"/>
      <c r="J30" s="59"/>
      <c r="K30" s="59"/>
      <c r="L30" s="59"/>
      <c r="M30" s="59"/>
      <c r="N30" s="59"/>
      <c r="O30" s="61">
        <v>4.0</v>
      </c>
      <c r="P30" s="63">
        <v>3.0</v>
      </c>
      <c r="R30" s="59"/>
    </row>
    <row r="31">
      <c r="G31" s="59"/>
      <c r="H31" s="59"/>
      <c r="I31" s="59"/>
      <c r="J31" s="59"/>
      <c r="K31" s="59"/>
      <c r="L31" s="59"/>
      <c r="M31" s="59"/>
      <c r="N31" s="59"/>
      <c r="O31" s="64">
        <v>4.0</v>
      </c>
      <c r="P31" s="60">
        <v>3.0</v>
      </c>
      <c r="R31" s="59"/>
    </row>
    <row r="32">
      <c r="G32" s="59"/>
      <c r="H32" s="59"/>
      <c r="I32" s="59"/>
      <c r="J32" s="59"/>
      <c r="K32" s="59"/>
      <c r="L32" s="59"/>
      <c r="M32" s="59"/>
      <c r="N32" s="59"/>
      <c r="O32" s="65">
        <v>5.0</v>
      </c>
      <c r="P32" s="63">
        <v>4.0</v>
      </c>
      <c r="R32" s="59"/>
    </row>
    <row r="33">
      <c r="G33" s="59"/>
      <c r="H33" s="59"/>
      <c r="I33" s="59"/>
      <c r="J33" s="59"/>
      <c r="K33" s="59"/>
      <c r="L33" s="59"/>
      <c r="M33" s="59"/>
      <c r="N33" s="59"/>
      <c r="O33" s="65">
        <v>5.0</v>
      </c>
      <c r="P33" s="63">
        <v>4.0</v>
      </c>
      <c r="R33" s="59"/>
    </row>
    <row r="34">
      <c r="G34" s="59"/>
      <c r="H34" s="59"/>
      <c r="I34" s="59"/>
      <c r="J34" s="59"/>
      <c r="K34" s="59"/>
      <c r="L34" s="59"/>
      <c r="M34" s="59"/>
      <c r="N34" s="59"/>
      <c r="O34" s="64">
        <v>5.0</v>
      </c>
      <c r="P34" s="60">
        <v>4.0</v>
      </c>
      <c r="R34" s="59"/>
    </row>
    <row r="35">
      <c r="G35" s="59"/>
      <c r="H35" s="59"/>
      <c r="I35" s="59"/>
      <c r="J35" s="59"/>
      <c r="K35" s="59"/>
      <c r="L35" s="59"/>
      <c r="M35" s="59"/>
      <c r="N35" s="59"/>
      <c r="O35" s="65">
        <v>5.0</v>
      </c>
      <c r="P35" s="63">
        <v>4.0</v>
      </c>
      <c r="R35" s="59"/>
      <c r="Y35" s="18">
        <f>COUNTIF('Call Log'!C:C, "Lexi")</f>
        <v>5</v>
      </c>
    </row>
    <row r="36">
      <c r="G36" s="59"/>
      <c r="H36" s="59"/>
      <c r="I36" s="59"/>
      <c r="J36" s="59"/>
      <c r="K36" s="59"/>
      <c r="L36" s="59"/>
      <c r="M36" s="59"/>
      <c r="N36" s="59"/>
      <c r="O36" s="64">
        <v>3.0</v>
      </c>
      <c r="P36" s="60">
        <v>5.0</v>
      </c>
      <c r="R36" s="59"/>
      <c r="Y36" s="18">
        <f>COUNTIF('Call Log'!C:C, "Grant")</f>
        <v>52</v>
      </c>
    </row>
    <row r="37">
      <c r="G37" s="59"/>
      <c r="H37" s="59"/>
      <c r="I37" s="59"/>
      <c r="J37" s="59"/>
      <c r="K37" s="59"/>
      <c r="L37" s="59"/>
      <c r="M37" s="59"/>
      <c r="N37" s="59"/>
      <c r="O37" s="65">
        <v>3.0</v>
      </c>
      <c r="P37" s="63">
        <v>5.0</v>
      </c>
      <c r="R37" s="59"/>
      <c r="Y37" s="18">
        <f>COUNTIF('Call Log'!C:C, "Luke")</f>
        <v>5</v>
      </c>
    </row>
    <row r="38">
      <c r="G38" s="59"/>
      <c r="H38" s="59"/>
      <c r="I38" s="59"/>
      <c r="J38" s="59"/>
      <c r="K38" s="59"/>
      <c r="L38" s="59"/>
      <c r="M38" s="59"/>
      <c r="N38" s="59"/>
      <c r="O38" s="64">
        <v>3.0</v>
      </c>
      <c r="P38" s="60">
        <v>5.0</v>
      </c>
      <c r="R38" s="59"/>
      <c r="Y38" s="18">
        <f>COUNTIF('Call Log'!C:C, "Mac")</f>
        <v>1</v>
      </c>
    </row>
    <row r="39">
      <c r="G39" s="59"/>
      <c r="H39" s="59"/>
      <c r="I39" s="59"/>
      <c r="J39" s="59"/>
      <c r="K39" s="59"/>
      <c r="L39" s="59"/>
      <c r="M39" s="59"/>
      <c r="N39" s="59"/>
      <c r="O39" s="65">
        <v>4.0</v>
      </c>
      <c r="P39" s="63">
        <v>3.0</v>
      </c>
      <c r="R39" s="59"/>
      <c r="Y39" s="18">
        <f>COUNTIF('Call Log'!C:C, "Aniket")</f>
        <v>0</v>
      </c>
    </row>
    <row r="40">
      <c r="G40" s="59"/>
      <c r="H40" s="59"/>
      <c r="I40" s="59"/>
      <c r="J40" s="59"/>
      <c r="K40" s="59"/>
      <c r="L40" s="59"/>
      <c r="M40" s="59"/>
      <c r="N40" s="59"/>
      <c r="O40" s="65">
        <v>4.0</v>
      </c>
      <c r="P40" s="63">
        <v>3.0</v>
      </c>
      <c r="R40" s="59"/>
      <c r="Y40" s="18">
        <f>COUNTIF('Call Log'!C:C, "Jigisha")</f>
        <v>0</v>
      </c>
    </row>
    <row r="41">
      <c r="G41" s="59"/>
      <c r="H41" s="59"/>
      <c r="I41" s="59"/>
      <c r="J41" s="59"/>
      <c r="K41" s="59"/>
      <c r="L41" s="59"/>
      <c r="M41" s="59"/>
      <c r="N41" s="59"/>
      <c r="O41" s="64">
        <v>4.0</v>
      </c>
      <c r="P41" s="60">
        <v>3.0</v>
      </c>
      <c r="R41" s="59"/>
    </row>
    <row r="42">
      <c r="G42" s="59"/>
      <c r="H42" s="59"/>
      <c r="I42" s="59"/>
      <c r="J42" s="59"/>
      <c r="K42" s="59"/>
      <c r="L42" s="59"/>
      <c r="M42" s="59"/>
      <c r="N42" s="59"/>
      <c r="O42" s="65">
        <v>3.0</v>
      </c>
      <c r="P42" s="63">
        <v>5.0</v>
      </c>
      <c r="R42" s="59"/>
    </row>
    <row r="43">
      <c r="G43" s="59"/>
      <c r="H43" s="59"/>
      <c r="I43" s="59"/>
      <c r="J43" s="59"/>
      <c r="K43" s="59"/>
      <c r="L43" s="59"/>
      <c r="M43" s="59"/>
      <c r="N43" s="59"/>
      <c r="O43" s="64">
        <v>3.0</v>
      </c>
      <c r="P43" s="60">
        <v>5.0</v>
      </c>
      <c r="R43" s="59"/>
    </row>
    <row r="44">
      <c r="G44" s="59"/>
      <c r="H44" s="59"/>
      <c r="I44" s="59"/>
      <c r="J44" s="59"/>
      <c r="K44" s="59"/>
      <c r="L44" s="59"/>
      <c r="M44" s="59"/>
      <c r="N44" s="59"/>
      <c r="O44" s="65">
        <v>3.0</v>
      </c>
      <c r="P44" s="63">
        <v>5.0</v>
      </c>
      <c r="R44" s="59"/>
    </row>
    <row r="45">
      <c r="G45" s="59"/>
      <c r="H45" s="59"/>
      <c r="I45" s="59"/>
      <c r="J45" s="59"/>
      <c r="K45" s="59"/>
      <c r="L45" s="59"/>
      <c r="M45" s="59"/>
      <c r="N45" s="59"/>
      <c r="O45" s="64">
        <v>4.0</v>
      </c>
      <c r="P45" s="60">
        <v>3.0</v>
      </c>
      <c r="R45" s="59"/>
    </row>
    <row r="46">
      <c r="G46" s="59"/>
      <c r="H46" s="59"/>
      <c r="I46" s="59"/>
      <c r="J46" s="59"/>
      <c r="K46" s="59"/>
      <c r="L46" s="59"/>
      <c r="M46" s="59"/>
      <c r="N46" s="59"/>
      <c r="O46" s="63">
        <v>2.0</v>
      </c>
      <c r="P46" s="63">
        <v>2.0</v>
      </c>
      <c r="R46" s="59"/>
    </row>
    <row r="47">
      <c r="G47" s="59"/>
      <c r="H47" s="59"/>
      <c r="I47" s="59"/>
      <c r="J47" s="59"/>
      <c r="K47" s="59"/>
      <c r="L47" s="59"/>
      <c r="M47" s="59"/>
      <c r="N47" s="59"/>
      <c r="O47" s="60">
        <v>2.0</v>
      </c>
      <c r="P47" s="60">
        <v>2.0</v>
      </c>
      <c r="R47" s="59"/>
    </row>
    <row r="48">
      <c r="G48" s="59"/>
      <c r="H48" s="59"/>
      <c r="I48" s="59"/>
      <c r="J48" s="59"/>
      <c r="K48" s="59"/>
      <c r="L48" s="59"/>
      <c r="M48" s="59"/>
      <c r="N48" s="59"/>
      <c r="O48" s="63">
        <v>2.0</v>
      </c>
      <c r="P48" s="63">
        <v>2.0</v>
      </c>
      <c r="R48" s="59"/>
    </row>
    <row r="49">
      <c r="G49" s="59"/>
      <c r="H49" s="59"/>
      <c r="I49" s="59"/>
      <c r="J49" s="59"/>
      <c r="K49" s="59"/>
      <c r="L49" s="59"/>
      <c r="M49" s="59"/>
      <c r="N49" s="59"/>
      <c r="O49" s="60">
        <v>3.0</v>
      </c>
      <c r="P49" s="60">
        <v>5.0</v>
      </c>
      <c r="R49" s="59"/>
    </row>
    <row r="50">
      <c r="G50" s="59"/>
      <c r="H50" s="59"/>
      <c r="I50" s="59"/>
      <c r="J50" s="59"/>
      <c r="K50" s="59"/>
      <c r="L50" s="59"/>
      <c r="M50" s="59"/>
      <c r="N50" s="59"/>
      <c r="O50" s="63">
        <v>5.0</v>
      </c>
      <c r="P50" s="63">
        <v>4.0</v>
      </c>
      <c r="R50" s="59"/>
    </row>
    <row r="51">
      <c r="G51" s="59"/>
      <c r="H51" s="59"/>
      <c r="I51" s="59"/>
      <c r="J51" s="59"/>
      <c r="K51" s="59"/>
      <c r="L51" s="59"/>
      <c r="M51" s="59"/>
      <c r="N51" s="59"/>
      <c r="O51" s="60">
        <v>5.0</v>
      </c>
      <c r="P51" s="60">
        <v>4.0</v>
      </c>
      <c r="R51" s="59"/>
    </row>
    <row r="52">
      <c r="G52" s="59"/>
      <c r="H52" s="59"/>
      <c r="I52" s="59"/>
      <c r="J52" s="59"/>
      <c r="K52" s="59"/>
      <c r="L52" s="59"/>
      <c r="M52" s="59"/>
      <c r="N52" s="59"/>
      <c r="O52" s="63">
        <v>3.0</v>
      </c>
      <c r="P52" s="63">
        <v>5.0</v>
      </c>
      <c r="R52" s="59"/>
    </row>
    <row r="53">
      <c r="G53" s="59"/>
      <c r="H53" s="59"/>
      <c r="I53" s="59"/>
      <c r="J53" s="59"/>
      <c r="K53" s="59"/>
      <c r="L53" s="59"/>
      <c r="M53" s="59"/>
      <c r="N53" s="59"/>
      <c r="O53" s="60">
        <v>3.0</v>
      </c>
      <c r="P53" s="60">
        <v>5.0</v>
      </c>
      <c r="R53" s="59"/>
    </row>
    <row r="54">
      <c r="G54" s="59"/>
      <c r="H54" s="59"/>
      <c r="I54" s="59"/>
      <c r="J54" s="59"/>
      <c r="K54" s="59"/>
      <c r="L54" s="59"/>
      <c r="M54" s="59"/>
      <c r="N54" s="59"/>
      <c r="O54" s="63">
        <v>3.0</v>
      </c>
      <c r="P54" s="63">
        <v>5.0</v>
      </c>
      <c r="R54" s="59"/>
    </row>
  </sheetData>
  <conditionalFormatting sqref="O18:O54">
    <cfRule type="expression" dxfId="5" priority="1">
      <formula>O18=4</formula>
    </cfRule>
  </conditionalFormatting>
  <drawing r:id="rId1"/>
  <tableParts count="1">
    <tablePart r:id="rId3"/>
  </tableParts>
</worksheet>
</file>